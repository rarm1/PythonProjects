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X:\Fund Management\Fund Management Team Files\FM Personal Folders\Richard\PycharmProjects\Rebalancing\assets\"/>
    </mc:Choice>
  </mc:AlternateContent>
  <xr:revisionPtr revIDLastSave="0" documentId="13_ncr:1_{3F9A5B76-BEEE-4488-8B72-022AF9456227}" xr6:coauthVersionLast="47" xr6:coauthVersionMax="47" xr10:uidLastSave="{00000000-0000-0000-0000-000000000000}"/>
  <bookViews>
    <workbookView xWindow="9105" yWindow="-15315" windowWidth="7590" windowHeight="3405" tabRatio="1000" xr2:uid="{00000000-000D-0000-FFFF-FFFF00000000}"/>
  </bookViews>
  <sheets>
    <sheet name="Horizon Positions" sheetId="20" r:id="rId1"/>
    <sheet name="Fund Trend" sheetId="3" r:id="rId2"/>
    <sheet name="DilutionAdjustment" sheetId="27" r:id="rId3"/>
    <sheet name="SolveForAmount" sheetId="4" state="veryHidden" r:id=""/>
    <sheet name="Module1" sheetId="5" state="veryHidden" r:id=""/>
    <sheet name="Code" sheetId="6" state="veryHidden" r:id=""/>
  </sheets>
  <definedNames>
    <definedName name="AllViews">#REF!</definedName>
    <definedName name="_xlnm.Print_Titles" localSheetId="1">'Fund Trend'!$10:$10</definedName>
    <definedName name="SH_REGION">#REF!</definedName>
    <definedName name="SH_ReqFromDate">#REF!</definedName>
    <definedName name="SH_ReqToDate">#REF!</definedName>
    <definedName name="SH_SecDate">#REF!</definedName>
    <definedName name="SH_SecNumber">#REF!</definedName>
    <definedName name="SH_SecUnique">#REF!</definedName>
    <definedName name="SP0_ACCOUNT">#REF!</definedName>
    <definedName name="SP0_AGGREGATE">#REF!</definedName>
    <definedName name="SP0_F1ITEM">#REF!</definedName>
    <definedName name="SP0_F1OPER">#REF!</definedName>
    <definedName name="SP0_F1VALUE">#REF!</definedName>
    <definedName name="SP0_F2ITEM">#REF!</definedName>
    <definedName name="SP0_F2OPER">#REF!</definedName>
    <definedName name="SP0_F2VALUE">#REF!</definedName>
    <definedName name="SP0_F3ITEM">#REF!</definedName>
    <definedName name="SP0_F3OPER">#REF!</definedName>
    <definedName name="SP0_F3VALUE">#REF!</definedName>
    <definedName name="SP0_F4ITEM">#REF!</definedName>
    <definedName name="SP0_F4OPER">#REF!</definedName>
    <definedName name="SP0_F4VALUE">#REF!</definedName>
    <definedName name="SP0_F5ITEM">#REF!</definedName>
    <definedName name="SP0_F5OPER">#REF!</definedName>
    <definedName name="SP0_F5VALUE">#REF!</definedName>
    <definedName name="SP0_OPERATOR">#REF!</definedName>
    <definedName name="SP0_REGION">#REF!</definedName>
    <definedName name="SP0_REQDATE">#REF!</definedName>
    <definedName name="SP0_SCTYONLY">#REF!</definedName>
    <definedName name="SP0_VIEW">#REF!</definedName>
    <definedName name="SP1_ACCOUNT">#REF!</definedName>
    <definedName name="SP1_DATETYPE">#REF!</definedName>
    <definedName name="SP1_F1ITEM">#REF!</definedName>
    <definedName name="SP1_F1OPER">#REF!</definedName>
    <definedName name="SP1_F1VALUE">#REF!</definedName>
    <definedName name="SP1_F2ITEM">#REF!</definedName>
    <definedName name="SP1_F2OPER">#REF!</definedName>
    <definedName name="SP1_F2VALUE">#REF!</definedName>
    <definedName name="SP1_F3ITEM">#REF!</definedName>
    <definedName name="SP1_F3OPER">#REF!</definedName>
    <definedName name="SP1_F3VALUE">#REF!</definedName>
    <definedName name="SP1_F4ITEM">#REF!</definedName>
    <definedName name="SP1_F4OPER">#REF!</definedName>
    <definedName name="SP1_F4VALUE">#REF!</definedName>
    <definedName name="SP1_F5ITEM">#REF!</definedName>
    <definedName name="SP1_F5OPER">#REF!</definedName>
    <definedName name="SP1_F5VALUE">#REF!</definedName>
    <definedName name="SP1_FROMDATE">#REF!</definedName>
    <definedName name="SP1_OPERATOR">#REF!</definedName>
    <definedName name="SP1_POSITIONS">#REF!</definedName>
    <definedName name="SP1_REGION">#REF!</definedName>
    <definedName name="SP1_TODATE">#REF!</definedName>
    <definedName name="SP1_VIEW">#REF!</definedName>
    <definedName name="SP10_EFFECTIVE_DATE">#REF!</definedName>
    <definedName name="SP10_F1ITEM">#REF!</definedName>
    <definedName name="SP10_F1OPER">#REF!</definedName>
    <definedName name="SP10_F1VALUE">#REF!</definedName>
    <definedName name="SP10_F2ITEM">#REF!</definedName>
    <definedName name="SP10_F2OPER">#REF!</definedName>
    <definedName name="SP10_F2VALUE">#REF!</definedName>
    <definedName name="SP10_F3ITEM">#REF!</definedName>
    <definedName name="SP10_F3OPER">#REF!</definedName>
    <definedName name="SP10_F3VALUE">#REF!</definedName>
    <definedName name="SP10_F4ITEM">#REF!</definedName>
    <definedName name="SP10_F4OPER">#REF!</definedName>
    <definedName name="SP10_F4VALUE">#REF!</definedName>
    <definedName name="SP10_F5ITEM">#REF!</definedName>
    <definedName name="SP10_F5OPER">#REF!</definedName>
    <definedName name="SP10_F5VALUE">#REF!</definedName>
    <definedName name="SP10_INFLATION_INDEX">#REF!</definedName>
    <definedName name="SP10_NUMBER_ENTRIES">#REF!</definedName>
    <definedName name="SP10_OPERATOR">#REF!</definedName>
    <definedName name="SP10_REGION">#REF!</definedName>
    <definedName name="SP12_F1ITEM">#REF!</definedName>
    <definedName name="SP12_F1OPER">#REF!</definedName>
    <definedName name="SP12_F1VALUE">#REF!</definedName>
    <definedName name="SP12_F2ITEM">#REF!</definedName>
    <definedName name="SP12_F2OPER">#REF!</definedName>
    <definedName name="SP12_F2VALUE">#REF!</definedName>
    <definedName name="SP12_F3ITEM">#REF!</definedName>
    <definedName name="SP12_F3OPER">#REF!</definedName>
    <definedName name="SP12_F3VALUE">#REF!</definedName>
    <definedName name="SP12_F4ITEM">#REF!</definedName>
    <definedName name="SP12_F4OPER">#REF!</definedName>
    <definedName name="SP12_F4VALUE">#REF!</definedName>
    <definedName name="SP12_F5ITEM">#REF!</definedName>
    <definedName name="SP12_F5OPER">#REF!</definedName>
    <definedName name="SP12_F5VALUE">#REF!</definedName>
    <definedName name="SP2_ACCOUNT">'Fund Trend'!$F$2</definedName>
    <definedName name="SP2_CLASSOFSHARES">'Fund Trend'!$F$4</definedName>
    <definedName name="SP2_F1ITEM">'Fund Trend'!$H$2</definedName>
    <definedName name="SP2_F1OPER">'Fund Trend'!$I$2</definedName>
    <definedName name="SP2_F1VALUE">'Fund Trend'!$J$2</definedName>
    <definedName name="SP2_F2ITEM">'Fund Trend'!$H$3</definedName>
    <definedName name="SP2_F2OPER">'Fund Trend'!$I$3</definedName>
    <definedName name="SP2_F2VALUE">'Fund Trend'!$J$3</definedName>
    <definedName name="SP2_F3ITEM">'Fund Trend'!$H$4</definedName>
    <definedName name="SP2_F3OPER">'Fund Trend'!$I$4</definedName>
    <definedName name="SP2_F3VALUE">'Fund Trend'!$J$4</definedName>
    <definedName name="SP2_F4ITEM">'Fund Trend'!$H$5</definedName>
    <definedName name="SP2_F4OPER">'Fund Trend'!$I$5</definedName>
    <definedName name="SP2_F4VALUE">'Fund Trend'!$J$5</definedName>
    <definedName name="SP2_F5ITEM">'Fund Trend'!$H$6</definedName>
    <definedName name="SP2_F5OPER">'Fund Trend'!$I$6</definedName>
    <definedName name="SP2_F5VALUE">'Fund Trend'!$J$6</definedName>
    <definedName name="SP2_OPERATOR">'Fund Trend'!$B$4</definedName>
    <definedName name="SP2_PERIODS">'Fund Trend'!$F$6</definedName>
    <definedName name="SP2_PERIODTYPE">'Fund Trend'!$F$7</definedName>
    <definedName name="SP2_REGION">'Fund Trend'!$B$3</definedName>
    <definedName name="SP2_REQDATE">'Fund Trend'!$F$5</definedName>
    <definedName name="SP2_VIEW">'Fund Trend'!$F$3</definedName>
    <definedName name="SP3_ACCOUNT">#REF!</definedName>
    <definedName name="SP3_F1ITEM">#REF!</definedName>
    <definedName name="SP3_F1OPER">#REF!</definedName>
    <definedName name="SP3_F1VALUE">#REF!</definedName>
    <definedName name="SP3_F2ITEM">#REF!</definedName>
    <definedName name="SP3_F2OPER">#REF!</definedName>
    <definedName name="SP3_F2VALUE">#REF!</definedName>
    <definedName name="SP3_F3ITEM">#REF!</definedName>
    <definedName name="SP3_F3OPER">#REF!</definedName>
    <definedName name="SP3_F3VALUE">#REF!</definedName>
    <definedName name="SP3_F4ITEM">#REF!</definedName>
    <definedName name="SP3_F4OPER">#REF!</definedName>
    <definedName name="SP3_F4VALUE">#REF!</definedName>
    <definedName name="SP3_F5ITEM">#REF!</definedName>
    <definedName name="SP3_F5OPER">#REF!</definedName>
    <definedName name="SP3_F5VALUE">#REF!</definedName>
    <definedName name="SP3_OPERATOR">#REF!</definedName>
    <definedName name="SP3_PERIODS">#REF!</definedName>
    <definedName name="SP3_PERIODTYPE">#REF!</definedName>
    <definedName name="SP3_PROCESSALL">#REF!</definedName>
    <definedName name="SP3_REGION">#REF!</definedName>
    <definedName name="SP3_REQBASECURR">#REF!</definedName>
    <definedName name="SP3_REQCURRCODE">#REF!</definedName>
    <definedName name="SP3_REQDATE">#REF!</definedName>
    <definedName name="SP3_REQSOURCE">#REF!</definedName>
    <definedName name="SP3_REQTIME">#REF!</definedName>
    <definedName name="SP3_REQTYPE">#REF!</definedName>
    <definedName name="SP3_SECURITYDATE">#REF!</definedName>
    <definedName name="SP3_SECURITYNUMBER">#REF!</definedName>
    <definedName name="SP3_SECURITYQUAL">#REF!</definedName>
    <definedName name="SP3_VIEW">#REF!</definedName>
    <definedName name="SP3P_VIEW">#REF!</definedName>
    <definedName name="SP4_ACCOUNT">#REF!</definedName>
    <definedName name="SP4_F1ITEM">#REF!</definedName>
    <definedName name="SP4_F1OPER">#REF!</definedName>
    <definedName name="SP4_F1VALUE">#REF!</definedName>
    <definedName name="SP4_F2ITEM">#REF!</definedName>
    <definedName name="SP4_F2OPER">#REF!</definedName>
    <definedName name="SP4_F2VALUE">#REF!</definedName>
    <definedName name="SP4_F3ITEM">#REF!</definedName>
    <definedName name="SP4_F3OPER">#REF!</definedName>
    <definedName name="SP4_F3VALUE">#REF!</definedName>
    <definedName name="SP4_F4ITEM">#REF!</definedName>
    <definedName name="SP4_F4OPER">#REF!</definedName>
    <definedName name="SP4_F4VALUE">#REF!</definedName>
    <definedName name="SP4_F5ITEM">#REF!</definedName>
    <definedName name="SP4_F5OPER">#REF!</definedName>
    <definedName name="SP4_F5VALUE">#REF!</definedName>
    <definedName name="SP4_FROMDATE">#REF!</definedName>
    <definedName name="SP4_RECORDTYPE">#REF!</definedName>
    <definedName name="SP4_TODATE">#REF!</definedName>
    <definedName name="SP4_VIEW">#REF!</definedName>
    <definedName name="SP7_ACCOUNT">#REF!</definedName>
    <definedName name="SP7_AdvAtt">#REF!</definedName>
    <definedName name="SP7_CLASSOFSHARES">#REF!</definedName>
    <definedName name="SP7_F1ITEM">#REF!</definedName>
    <definedName name="SP7_F1OPER">#REF!</definedName>
    <definedName name="SP7_F1VALUE">#REF!</definedName>
    <definedName name="SP7_F2ITEM">#REF!</definedName>
    <definedName name="SP7_F2OPER">#REF!</definedName>
    <definedName name="SP7_F2VALUE">#REF!</definedName>
    <definedName name="SP7_F3ITEM">#REF!</definedName>
    <definedName name="SP7_F3OPER">#REF!</definedName>
    <definedName name="SP7_F3VALUE">#REF!</definedName>
    <definedName name="SP7_F4ITEM">#REF!</definedName>
    <definedName name="SP7_F4OPER">#REF!</definedName>
    <definedName name="SP7_F4VALUE">#REF!</definedName>
    <definedName name="SP7_F5ITEM">#REF!</definedName>
    <definedName name="SP7_F5OPER">#REF!</definedName>
    <definedName name="SP7_F5VALUE">#REF!</definedName>
    <definedName name="SP7_OPERATOR">#REF!</definedName>
    <definedName name="SP7_PERIODS">#REF!</definedName>
    <definedName name="SP7_PERIODTYPE">#REF!</definedName>
    <definedName name="SP7_REGION">#REF!</definedName>
    <definedName name="SP7_REQDATE">#REF!</definedName>
    <definedName name="SP7_VIEW">#REF!</definedName>
    <definedName name="SP8_F1ITEM">#REF!</definedName>
    <definedName name="SP8_F1OPER">#REF!</definedName>
    <definedName name="SP8_F1VALUE">#REF!</definedName>
    <definedName name="SP8_F2ITEM">#REF!</definedName>
    <definedName name="SP8_F2OPER">#REF!</definedName>
    <definedName name="SP8_F2VALUE">#REF!</definedName>
    <definedName name="SP8_F3ITEM">#REF!</definedName>
    <definedName name="SP8_F3OPER">#REF!</definedName>
    <definedName name="SP8_F3VALUE">#REF!</definedName>
    <definedName name="SP8_F4ITEM">#REF!</definedName>
    <definedName name="SP8_F4OPER">#REF!</definedName>
    <definedName name="SP8_F4VALUE">#REF!</definedName>
    <definedName name="SP8_F5ITEM">#REF!</definedName>
    <definedName name="SP8_F5OPER">#REF!</definedName>
    <definedName name="SP8_F5VALUE">#REF!</definedName>
    <definedName name="SP9_ACCOUNT">#REF!</definedName>
    <definedName name="SP9_F1ITEM">#REF!</definedName>
    <definedName name="SP9_F1OPER">#REF!</definedName>
    <definedName name="SP9_F1VALUE">#REF!</definedName>
    <definedName name="SP9_F2ITEM">#REF!</definedName>
    <definedName name="SP9_F2OPER">#REF!</definedName>
    <definedName name="SP9_F2VALUE">#REF!</definedName>
    <definedName name="SP9_F3ITEM">#REF!</definedName>
    <definedName name="SP9_F3OPER">#REF!</definedName>
    <definedName name="SP9_F3VALUE">#REF!</definedName>
    <definedName name="SP9_F4ITEM">#REF!</definedName>
    <definedName name="SP9_F4OPER">#REF!</definedName>
    <definedName name="SP9_F4VALUE">#REF!</definedName>
    <definedName name="SP9_F5ITEM">#REF!</definedName>
    <definedName name="SP9_F5OPER">#REF!</definedName>
    <definedName name="SP9_F5VALUE">#REF!</definedName>
    <definedName name="SP9_FROMDATE">#REF!</definedName>
    <definedName name="SP9_TODATE">#REF!</definedName>
    <definedName name="SP9_VIEW">#REF!</definedName>
    <definedName name="SPC_Account">#REF!</definedName>
    <definedName name="SPC_DateType">#REF!</definedName>
    <definedName name="SPC_F1ITEM">#REF!</definedName>
    <definedName name="SPC_F1OPER">#REF!</definedName>
    <definedName name="SPC_F1VALUE">#REF!</definedName>
    <definedName name="SPC_F2ITEM">#REF!</definedName>
    <definedName name="SPC_F2OPER">#REF!</definedName>
    <definedName name="SPC_F2VALUE">#REF!</definedName>
    <definedName name="SPC_F3ITEM">#REF!</definedName>
    <definedName name="SPC_F3OPER">#REF!</definedName>
    <definedName name="SPC_F3VALUE">#REF!</definedName>
    <definedName name="SPC_F4ITEM">#REF!</definedName>
    <definedName name="SPC_F4OPER">#REF!</definedName>
    <definedName name="SPC_F4VALUE">#REF!</definedName>
    <definedName name="SPC_F5ITEM">#REF!</definedName>
    <definedName name="SPC_F5OPER">#REF!</definedName>
    <definedName name="SPC_F5VALUE">#REF!</definedName>
    <definedName name="SPC_RecordType">#REF!</definedName>
    <definedName name="SPC_ReqFromDate">#REF!</definedName>
    <definedName name="SPC_ReqToDate">#REF!</definedName>
    <definedName name="SPC_View">#REF!</definedName>
    <definedName name="SPG">#REF!</definedName>
    <definedName name="SPG_ACCOUNT">#REF!</definedName>
    <definedName name="SPG_F1ITEM">#REF!</definedName>
    <definedName name="SPG_F1OPER">#REF!</definedName>
    <definedName name="SPG_F1VALUE">#REF!</definedName>
    <definedName name="SPG_F2ITEM">#REF!</definedName>
    <definedName name="SPG_F2OPER">#REF!</definedName>
    <definedName name="SPG_F2VALUE">#REF!</definedName>
    <definedName name="SPG_F3ITEM">#REF!</definedName>
    <definedName name="SPG_F3OPER">#REF!</definedName>
    <definedName name="SPG_F3VALUE">#REF!</definedName>
    <definedName name="SPG_F4ITEM">#REF!</definedName>
    <definedName name="SPG_F4OPER">#REF!</definedName>
    <definedName name="SPG_F4VALUE">#REF!</definedName>
    <definedName name="SPG_F5ITEM">#REF!</definedName>
    <definedName name="SPG_F5OPER">#REF!</definedName>
    <definedName name="SPG_F5VALUE">#REF!</definedName>
    <definedName name="SPG_OPERATOR">#REF!</definedName>
    <definedName name="SPG_PERIODS">#REF!</definedName>
    <definedName name="SPG_PRIORVAL">#REF!</definedName>
    <definedName name="SPG_REGION">#REF!</definedName>
    <definedName name="SPG_REQDATE">#REF!</definedName>
    <definedName name="SPG_VIEW">#REF!</definedName>
    <definedName name="ViewCodes">#REF!</definedName>
    <definedName name="ViewSelectorValues">AllViews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6" i="3" l="1"/>
</calcChain>
</file>

<file path=xl/sharedStrings.xml><?xml version="1.0" encoding="utf-8"?>
<sst xmlns="http://schemas.openxmlformats.org/spreadsheetml/2006/main" count="9282" uniqueCount="921">
  <si>
    <t>Item</t>
  </si>
  <si>
    <t>Operand</t>
  </si>
  <si>
    <t>Value</t>
  </si>
  <si>
    <t>Filter 1:</t>
  </si>
  <si>
    <t>Filter 2:</t>
  </si>
  <si>
    <t>Filter 3:</t>
  </si>
  <si>
    <t>Filter 4:</t>
  </si>
  <si>
    <t>Filter 5:</t>
  </si>
  <si>
    <t>SP2</t>
  </si>
  <si>
    <t>DT</t>
  </si>
  <si>
    <t>http://www.investonesupport.com/</t>
  </si>
  <si>
    <t xml:space="preserve">Account: </t>
  </si>
  <si>
    <t xml:space="preserve">Host IP: </t>
  </si>
  <si>
    <t xml:space="preserve">Port: </t>
  </si>
  <si>
    <t xml:space="preserve">Operator: </t>
  </si>
  <si>
    <t xml:space="preserve"> User Id: </t>
  </si>
  <si>
    <t xml:space="preserve">Class of Shares: </t>
  </si>
  <si>
    <t xml:space="preserve">Request Date: </t>
  </si>
  <si>
    <t xml:space="preserve">Periods: </t>
  </si>
  <si>
    <t xml:space="preserve">Period Type: </t>
  </si>
  <si>
    <t>Last Execution Parameters</t>
  </si>
  <si>
    <t>Executed At:</t>
  </si>
  <si>
    <t>AN</t>
  </si>
  <si>
    <t>AD</t>
  </si>
  <si>
    <t>View:</t>
  </si>
  <si>
    <t>JA</t>
  </si>
  <si>
    <t>Instance:</t>
  </si>
  <si>
    <t>MARGETTSSQL</t>
  </si>
  <si>
    <t>Database:</t>
  </si>
  <si>
    <t>Horizon</t>
  </si>
  <si>
    <t>View/Table Name:</t>
  </si>
  <si>
    <t>pID</t>
  </si>
  <si>
    <t>Designation</t>
  </si>
  <si>
    <t>ISIN</t>
  </si>
  <si>
    <t>EUR</t>
  </si>
  <si>
    <t>USD</t>
  </si>
  <si>
    <t>GBP</t>
  </si>
  <si>
    <t>Account Number</t>
  </si>
  <si>
    <t>KMA00001</t>
  </si>
  <si>
    <t>HKD</t>
  </si>
  <si>
    <t>JPY</t>
  </si>
  <si>
    <t>Account Name</t>
  </si>
  <si>
    <t>595950</t>
  </si>
  <si>
    <t>AFH DA NTH AMERICAN EQTY</t>
  </si>
  <si>
    <t>188805</t>
  </si>
  <si>
    <t>275938</t>
  </si>
  <si>
    <t>392124</t>
  </si>
  <si>
    <t>392125</t>
  </si>
  <si>
    <t>392126</t>
  </si>
  <si>
    <t>392128</t>
  </si>
  <si>
    <t>392212</t>
  </si>
  <si>
    <t>392665</t>
  </si>
  <si>
    <t>392878</t>
  </si>
  <si>
    <t>393241</t>
  </si>
  <si>
    <t>393242</t>
  </si>
  <si>
    <t>393243</t>
  </si>
  <si>
    <t>393244</t>
  </si>
  <si>
    <t>393586</t>
  </si>
  <si>
    <t>397759</t>
  </si>
  <si>
    <t>397781</t>
  </si>
  <si>
    <t>397789</t>
  </si>
  <si>
    <t>397792</t>
  </si>
  <si>
    <t>397874</t>
  </si>
  <si>
    <t>506733</t>
  </si>
  <si>
    <t>506734</t>
  </si>
  <si>
    <t>506735</t>
  </si>
  <si>
    <t>564536</t>
  </si>
  <si>
    <t>564541</t>
  </si>
  <si>
    <t>564542</t>
  </si>
  <si>
    <t>564543</t>
  </si>
  <si>
    <t>591910</t>
  </si>
  <si>
    <t>595947</t>
  </si>
  <si>
    <t>595948</t>
  </si>
  <si>
    <t>595949</t>
  </si>
  <si>
    <t>595952</t>
  </si>
  <si>
    <t>595956</t>
  </si>
  <si>
    <t>669190</t>
  </si>
  <si>
    <t>669191</t>
  </si>
  <si>
    <t>NA</t>
  </si>
  <si>
    <t>OEIC Security Value</t>
  </si>
  <si>
    <t>Net Income Amount</t>
  </si>
  <si>
    <t>AFH DA UK ALPHA</t>
  </si>
  <si>
    <t>AFH DA UK MUL CAP GR</t>
  </si>
  <si>
    <t>AFH DA UK SMALL COMP</t>
  </si>
  <si>
    <t>AFH DA EUROPEAN EQUITY</t>
  </si>
  <si>
    <t>AFH DA ASIA EX JPN EQUITY</t>
  </si>
  <si>
    <t>AFH DA GLOBAL EMERGING</t>
  </si>
  <si>
    <t>[VW].[JKFVPSecurityData]</t>
  </si>
  <si>
    <t>HorizonDate</t>
  </si>
  <si>
    <t>PortfolioName</t>
  </si>
  <si>
    <t>SecurityNameShort</t>
  </si>
  <si>
    <t>BaseBidValue</t>
  </si>
  <si>
    <t>BaseMidValue</t>
  </si>
  <si>
    <t>LivePricing</t>
  </si>
  <si>
    <t>AssetClassID</t>
  </si>
  <si>
    <t>AssetClass</t>
  </si>
  <si>
    <t>GeographicalFocusID</t>
  </si>
  <si>
    <t>GeographicFocus</t>
  </si>
  <si>
    <t>SectorID</t>
  </si>
  <si>
    <t>Sector</t>
  </si>
  <si>
    <t>SecurityExchangeName</t>
  </si>
  <si>
    <t>CountriesRegionID</t>
  </si>
  <si>
    <t>Region</t>
  </si>
  <si>
    <t>SecurityCountry</t>
  </si>
  <si>
    <t>BroadAssetTypeID</t>
  </si>
  <si>
    <t>BroadAssetType</t>
  </si>
  <si>
    <t>AssetTypeID</t>
  </si>
  <si>
    <t>AssetType</t>
  </si>
  <si>
    <t>Stocks and Shares</t>
  </si>
  <si>
    <t>North America</t>
  </si>
  <si>
    <t>IBOSS 1</t>
  </si>
  <si>
    <t>Money Market</t>
  </si>
  <si>
    <t>Global</t>
  </si>
  <si>
    <t>Money Markets</t>
  </si>
  <si>
    <t>OTC</t>
  </si>
  <si>
    <t>Ireland</t>
  </si>
  <si>
    <t>Collective Investment Schemes</t>
  </si>
  <si>
    <t>UCITS Open-Ended Funds</t>
  </si>
  <si>
    <t>IBOSS 4</t>
  </si>
  <si>
    <t>IBOSS 2</t>
  </si>
  <si>
    <t>Asia Pacific ex Japan</t>
  </si>
  <si>
    <t>United Kingdom</t>
  </si>
  <si>
    <t>UK</t>
  </si>
  <si>
    <t>GB00B3X7QG63</t>
  </si>
  <si>
    <t>Vanguard FTSE U.K. All Shr Idx UT Acc</t>
  </si>
  <si>
    <t>IBOSS 6</t>
  </si>
  <si>
    <t>IE00B9M1BB17</t>
  </si>
  <si>
    <t>Vanguard UK Shrt-Term IG Bd Idx GBP Acc</t>
  </si>
  <si>
    <t>Bonds and Fixed Interest</t>
  </si>
  <si>
    <t>Japan</t>
  </si>
  <si>
    <t>GB0007646747</t>
  </si>
  <si>
    <t>Schroder Institutional Pacific I Acc</t>
  </si>
  <si>
    <t>GB00BJS8SH10</t>
  </si>
  <si>
    <t>Fidelity Index US P Acc</t>
  </si>
  <si>
    <t>GB00BKGR3F07</t>
  </si>
  <si>
    <t>L&amp;G Short Dated Sterling Corp Bond Fund</t>
  </si>
  <si>
    <t>GB00B77DQT14</t>
  </si>
  <si>
    <t>Rathbone Ethical Bond I Acc</t>
  </si>
  <si>
    <t>Unclassified</t>
  </si>
  <si>
    <t>Asia Pacific inc Japan</t>
  </si>
  <si>
    <t>GB00B80QGH28</t>
  </si>
  <si>
    <t>HSBC European Index Accumulation C</t>
  </si>
  <si>
    <t>Europe Ex UK</t>
  </si>
  <si>
    <t>Global Emerging Markets</t>
  </si>
  <si>
    <t>GB00B5M5KY18</t>
  </si>
  <si>
    <t>JPM Emerging Markets Inc C Acc</t>
  </si>
  <si>
    <t>GB00B82VD295</t>
  </si>
  <si>
    <t>SLI Global Emerging Mrkt Eq Inc Inst Acc</t>
  </si>
  <si>
    <t>GB00B6Y7NF43</t>
  </si>
  <si>
    <t>Fidelity Asia W Acc</t>
  </si>
  <si>
    <t>GB00B5B71Q71</t>
  </si>
  <si>
    <t>Vanguard US Equity Index Acc</t>
  </si>
  <si>
    <t>GB00BDD29732</t>
  </si>
  <si>
    <t>Schroder Asian Income L GBP Acc</t>
  </si>
  <si>
    <t>Europe including UK</t>
  </si>
  <si>
    <t>China</t>
  </si>
  <si>
    <t>GB00B53R4H74</t>
  </si>
  <si>
    <t>Royal London Global Index Linked Z Inc</t>
  </si>
  <si>
    <t>GB00BQ1JYV63</t>
  </si>
  <si>
    <t>L&amp;G MID Cap Index C Acc</t>
  </si>
  <si>
    <t>GB00B7DRD638</t>
  </si>
  <si>
    <t>Franklin UK Equity Income W Acc</t>
  </si>
  <si>
    <t>GB00BDCG0G22</t>
  </si>
  <si>
    <t>Fidelity Short Dated Corprate Bond W Acc</t>
  </si>
  <si>
    <t>GB00B7L34154</t>
  </si>
  <si>
    <t>UBS Global Emerging Markets Equity C Acc</t>
  </si>
  <si>
    <t>NURS Open-Ended Funds</t>
  </si>
  <si>
    <t>VW.JKDilutionAdjustment</t>
  </si>
  <si>
    <t>AIFStrategyLabel</t>
  </si>
  <si>
    <t>CashFlow</t>
  </si>
  <si>
    <t>CashFlowDate</t>
  </si>
  <si>
    <t>NAVDate</t>
  </si>
  <si>
    <t>Percentage</t>
  </si>
  <si>
    <t>Opes Income</t>
  </si>
  <si>
    <t>Other fund of funds</t>
  </si>
  <si>
    <t>Opes Growth</t>
  </si>
  <si>
    <t>Future Money Real Value</t>
  </si>
  <si>
    <t>Future Money Real Growth</t>
  </si>
  <si>
    <t>Future Money Dynamic Growth</t>
  </si>
  <si>
    <t>Future Money Income</t>
  </si>
  <si>
    <t>HorizonVP</t>
  </si>
  <si>
    <t>NZ</t>
  </si>
  <si>
    <t>SO</t>
  </si>
  <si>
    <t>99999</t>
  </si>
  <si>
    <t>253275</t>
  </si>
  <si>
    <t>253277</t>
  </si>
  <si>
    <t>253278</t>
  </si>
  <si>
    <t>SecurityRecordID</t>
  </si>
  <si>
    <t>FXRate</t>
  </si>
  <si>
    <t>CurrencyCode</t>
  </si>
  <si>
    <t>Units</t>
  </si>
  <si>
    <t>LocalMid</t>
  </si>
  <si>
    <t>Pricing_Factor</t>
  </si>
  <si>
    <t>BaseValue</t>
  </si>
  <si>
    <t>GB0006063233</t>
  </si>
  <si>
    <t>GB00B7C44X99</t>
  </si>
  <si>
    <t>GB00B7QK1Y37</t>
  </si>
  <si>
    <t>GB00BHZK8D21</t>
  </si>
  <si>
    <t>GB00BRJL7V21</t>
  </si>
  <si>
    <t>Aberdeen Asia Pacific Enhanced Index B Acc</t>
  </si>
  <si>
    <t>GB00BZ8GWY28</t>
  </si>
  <si>
    <t>GB00B80QG615</t>
  </si>
  <si>
    <t>HSBC American Index Fund C Acc</t>
  </si>
  <si>
    <t>UNC</t>
  </si>
  <si>
    <t>XLON</t>
  </si>
  <si>
    <t>EMEA</t>
  </si>
  <si>
    <t>Transferable Securities</t>
  </si>
  <si>
    <t>GB00BYW7CL14</t>
  </si>
  <si>
    <t>L&amp;G Global Real Estate Div Idx C GBP Acc</t>
  </si>
  <si>
    <t>Property</t>
  </si>
  <si>
    <t>IE00B42LDN20</t>
  </si>
  <si>
    <t>Fidelity ILF - GBP F Flex Inc</t>
  </si>
  <si>
    <t>Luxembourg</t>
  </si>
  <si>
    <t>Specialist</t>
  </si>
  <si>
    <t>Financial</t>
  </si>
  <si>
    <t>IE0005042456</t>
  </si>
  <si>
    <t>iShares Core FTSE 100 GBP Dist</t>
  </si>
  <si>
    <t>UCITS ETFs</t>
  </si>
  <si>
    <t>IE00B5BMR087</t>
  </si>
  <si>
    <t>iShares Core S&amp;P 500 USD (Acc)</t>
  </si>
  <si>
    <t>Consumer, Non-cyclical</t>
  </si>
  <si>
    <t>Technology</t>
  </si>
  <si>
    <t>Gold</t>
  </si>
  <si>
    <t>Commodities - Precious Metals</t>
  </si>
  <si>
    <t>Exchange Traded Notes</t>
  </si>
  <si>
    <t>GB00BG0QP489</t>
  </si>
  <si>
    <t>L&amp;G Global Emerging Markets Index C Acc</t>
  </si>
  <si>
    <t>REITs</t>
  </si>
  <si>
    <t>Other Alternatives</t>
  </si>
  <si>
    <t>Guernsey</t>
  </si>
  <si>
    <t>Closed-Ended Funds</t>
  </si>
  <si>
    <t>XLUX</t>
  </si>
  <si>
    <t>Structured Products</t>
  </si>
  <si>
    <t>Jersey</t>
  </si>
  <si>
    <t>Property - Direct UK</t>
  </si>
  <si>
    <t>GG00BV54HY67</t>
  </si>
  <si>
    <t>Sequoia Economic Infrastructure Inc Ord</t>
  </si>
  <si>
    <t>Bermuda</t>
  </si>
  <si>
    <t>Mixed Investment</t>
  </si>
  <si>
    <t>GB00BF345X11</t>
  </si>
  <si>
    <t>Supermarket Income REIT Plc</t>
  </si>
  <si>
    <t>Energy</t>
  </si>
  <si>
    <t>Industrial</t>
  </si>
  <si>
    <t>XETR</t>
  </si>
  <si>
    <t>Netherlands</t>
  </si>
  <si>
    <t>GBP Government Bond</t>
  </si>
  <si>
    <t>Government or Public Bonds</t>
  </si>
  <si>
    <t>USD Government Bond</t>
  </si>
  <si>
    <t>Other</t>
  </si>
  <si>
    <t>Global Equity</t>
  </si>
  <si>
    <t>GBP High Yield Bond</t>
  </si>
  <si>
    <t>GBP Corporate Bond</t>
  </si>
  <si>
    <t>IE00BFRTDB69</t>
  </si>
  <si>
    <t>Vanguard US Govt Bd Idx GBP Hedged Acc</t>
  </si>
  <si>
    <t>Sector Equity Infrastructure</t>
  </si>
  <si>
    <t>GB00B8SC6K54</t>
  </si>
  <si>
    <t>Greencoat UK Wind Plc</t>
  </si>
  <si>
    <t>GB00B188SR50</t>
  </si>
  <si>
    <t>International Public Partner</t>
  </si>
  <si>
    <t>GG00BBHX2H91</t>
  </si>
  <si>
    <t>Renewables Infrastructure Group</t>
  </si>
  <si>
    <t>GB00BJLP1Y77</t>
  </si>
  <si>
    <t>Hicl Infrastructure PLC</t>
  </si>
  <si>
    <t>IE00BFLR2202</t>
  </si>
  <si>
    <t>AHFM Defined Returns B GBP Acc</t>
  </si>
  <si>
    <t>No Distinct Focus</t>
  </si>
  <si>
    <t>GB0009064097</t>
  </si>
  <si>
    <t>GB00B235GR40</t>
  </si>
  <si>
    <t>GB00B4W1ZT22</t>
  </si>
  <si>
    <t>GB00B84DSW83</t>
  </si>
  <si>
    <t>GB00B90VHJ34</t>
  </si>
  <si>
    <t>GB00BMMV5766</t>
  </si>
  <si>
    <t>GB00BYQ46T41</t>
  </si>
  <si>
    <t>IE00B1S75374</t>
  </si>
  <si>
    <t>JE00BYXX8B08</t>
  </si>
  <si>
    <t>Royal London Sterling Credit Z Inc</t>
  </si>
  <si>
    <t>iShares Corporate Bond Index (UK) D Acc</t>
  </si>
  <si>
    <t>GB00BF0TZL74</t>
  </si>
  <si>
    <t>L&amp;G Global Infrastructure Index Fund C Acc</t>
  </si>
  <si>
    <t>253302</t>
  </si>
  <si>
    <t>iShares UK Equity Index (UK) D Acc</t>
  </si>
  <si>
    <t>iShares North American Eq Idx (UK) D Acc</t>
  </si>
  <si>
    <t>Vanguard UK Govt Bd Idx GBP Acc</t>
  </si>
  <si>
    <t>GB00BKLJX955</t>
  </si>
  <si>
    <t>Royal London Sterling Credit Z Acc</t>
  </si>
  <si>
    <t>253283</t>
  </si>
  <si>
    <t>253299</t>
  </si>
  <si>
    <t>253301</t>
  </si>
  <si>
    <t>Fidelity Index Emerging Markets P Acc</t>
  </si>
  <si>
    <t>Global Large-Cap Growth Equity</t>
  </si>
  <si>
    <t>253551</t>
  </si>
  <si>
    <t>AFH DA UK EQUITY</t>
  </si>
  <si>
    <t>GB00B6QQ9X96</t>
  </si>
  <si>
    <t>iShares Japan Equity Index Fund (UK) D Acc</t>
  </si>
  <si>
    <t>Invesco UK Enhanced Index UK Z Acc</t>
  </si>
  <si>
    <t>GB00BLWDVR75</t>
  </si>
  <si>
    <t>Empiric Student Property Plc</t>
  </si>
  <si>
    <t>444559</t>
  </si>
  <si>
    <t>444561</t>
  </si>
  <si>
    <t>444562</t>
  </si>
  <si>
    <t>444582</t>
  </si>
  <si>
    <t>444583</t>
  </si>
  <si>
    <t>444585</t>
  </si>
  <si>
    <t>Global Developed</t>
  </si>
  <si>
    <t>BLENHEIM DIV FIX INCOME</t>
  </si>
  <si>
    <t>BLENHEIM OVERSEAS EQ</t>
  </si>
  <si>
    <t>BLENHEIM UK EQUITY</t>
  </si>
  <si>
    <t>BLENHEIM DIV PROPERTY</t>
  </si>
  <si>
    <t>BLENHEIM DIV ALTERNATIVES</t>
  </si>
  <si>
    <t>BLENHEIM ETHICAL OPPS</t>
  </si>
  <si>
    <t>444732</t>
  </si>
  <si>
    <t>TEMPUS ENTERPRISE</t>
  </si>
  <si>
    <t>444762</t>
  </si>
  <si>
    <t>TEMPUS DEFENSIVE</t>
  </si>
  <si>
    <t>444765</t>
  </si>
  <si>
    <t>444775</t>
  </si>
  <si>
    <t>TEMPUS GROWTH</t>
  </si>
  <si>
    <t>444780</t>
  </si>
  <si>
    <t>Artemis US Smaller Companies I Acc GBP</t>
  </si>
  <si>
    <t>Other Bond</t>
  </si>
  <si>
    <t>Asia Pacific Excluding Japan</t>
  </si>
  <si>
    <t>£ Strategic Bond</t>
  </si>
  <si>
    <t>UK Equity Income</t>
  </si>
  <si>
    <t>£ Corporate Bond</t>
  </si>
  <si>
    <t>Targeted Absolute Return</t>
  </si>
  <si>
    <t>Europe Excluding UK</t>
  </si>
  <si>
    <t>UK All Companies</t>
  </si>
  <si>
    <t>North American Smaller Companies</t>
  </si>
  <si>
    <t>UK Smaller Companies</t>
  </si>
  <si>
    <t>Global Equity Income</t>
  </si>
  <si>
    <t>Target Absolute Return - Bonds</t>
  </si>
  <si>
    <t>Property (Indirect)</t>
  </si>
  <si>
    <t>GB00BJXPPK95</t>
  </si>
  <si>
    <t>Artemis Target Return Bond Fund F GBP Acc</t>
  </si>
  <si>
    <t>Global Inflation Linked Bond</t>
  </si>
  <si>
    <t>Global Bonds</t>
  </si>
  <si>
    <t>Sector Equity Private Equity</t>
  </si>
  <si>
    <t>Global Emerging Markets Bond</t>
  </si>
  <si>
    <t>China/Greater China</t>
  </si>
  <si>
    <t>GB00BQ1SWL90</t>
  </si>
  <si>
    <t>Fidelity Asia Pacific Opportunities Fund W Acc</t>
  </si>
  <si>
    <t>em1-ioeng.fisglobal.com</t>
  </si>
  <si>
    <t>444900</t>
  </si>
  <si>
    <t>444999</t>
  </si>
  <si>
    <t>GB00BMH6XK58</t>
  </si>
  <si>
    <t>Allianz UK Equity Income Class E Inc</t>
  </si>
  <si>
    <t>UK Gilts</t>
  </si>
  <si>
    <t>GG00BMC7TM77</t>
  </si>
  <si>
    <t>Cordiant Digital Infrastructure</t>
  </si>
  <si>
    <t>Healthcare</t>
  </si>
  <si>
    <t>Other Equity</t>
  </si>
  <si>
    <t>JPM Asia Growth Fund C - Net Accumulation</t>
  </si>
  <si>
    <t>GB00BGPFJM62</t>
  </si>
  <si>
    <t>LF Lightman European Fund I Acc</t>
  </si>
  <si>
    <t>IE00BM67HS53</t>
  </si>
  <si>
    <t>Xtrackers MSCI World Mat ETF 1C (EUR)</t>
  </si>
  <si>
    <t>GB00BJ2JPG83</t>
  </si>
  <si>
    <t>L&amp;G Global Health &amp; Pharma Index Trust C Acc</t>
  </si>
  <si>
    <t>IE00BGRX5V99</t>
  </si>
  <si>
    <t>Garraway Global Equity Fund Class C GBP Acc</t>
  </si>
  <si>
    <t>LU1220104142</t>
  </si>
  <si>
    <t>Goldman Sachs Japan Equity Partners I Acc</t>
  </si>
  <si>
    <t>IE00BLNMYC90</t>
  </si>
  <si>
    <t>XTrackers S&amp;P 500 Eql Wgt UCITS ETF IC £</t>
  </si>
  <si>
    <t>Baillie Gifford Pacific B Acc</t>
  </si>
  <si>
    <t>106175</t>
  </si>
  <si>
    <t>106182</t>
  </si>
  <si>
    <t>106184</t>
  </si>
  <si>
    <t>106185</t>
  </si>
  <si>
    <t>Marlborough European Multi-Cap P Inc</t>
  </si>
  <si>
    <t>GB00BMGR2791</t>
  </si>
  <si>
    <t>UK Treasury 0.125 31/01/24</t>
  </si>
  <si>
    <t>Progeny Dynamic Equity</t>
  </si>
  <si>
    <t>Progeny Dynamic Bond</t>
  </si>
  <si>
    <t>Progeny Systematic Equity</t>
  </si>
  <si>
    <t>Progeny Systematic Bond</t>
  </si>
  <si>
    <t>GB00BG382L74</t>
  </si>
  <si>
    <t>Tritax Eurobox Plc</t>
  </si>
  <si>
    <t>Global Flexible Bond-GBP Hedged</t>
  </si>
  <si>
    <t>Gcp Asset Backed Income Fund</t>
  </si>
  <si>
    <t>LXI REIT PLC</t>
  </si>
  <si>
    <t>GB00B58YKH53</t>
  </si>
  <si>
    <t>Ishares Overseas Corporate Bond Index Fund UK D Acc</t>
  </si>
  <si>
    <t>Global Corporate Bonds</t>
  </si>
  <si>
    <t>NetAssetValue</t>
  </si>
  <si>
    <t>GB00BG03Y314</t>
  </si>
  <si>
    <t>M&amp;G Global Listed Infrastructure Fund GBP PP Acc</t>
  </si>
  <si>
    <t>GB00BFZ91W59</t>
  </si>
  <si>
    <t>Artemis Corporate Bond Fund I Acc GBP</t>
  </si>
  <si>
    <t>Blenheim Diversified Alternatives Fund</t>
  </si>
  <si>
    <t>Blenheim Diversified Fixed Income Fund</t>
  </si>
  <si>
    <t>Blenheim Diversified Property Fund</t>
  </si>
  <si>
    <t>Blenheim Ethical Opportunities Fund</t>
  </si>
  <si>
    <t>Blenheim Overseas Equity Fund</t>
  </si>
  <si>
    <t>Blenheim UK Equity Fund</t>
  </si>
  <si>
    <t>International Strategy</t>
  </si>
  <si>
    <t>Prima Adventurous Fund</t>
  </si>
  <si>
    <t>Prima Balanced Fund</t>
  </si>
  <si>
    <t>Prima Cautious Fund</t>
  </si>
  <si>
    <t>Providence Strategy</t>
  </si>
  <si>
    <t>Select Strategy</t>
  </si>
  <si>
    <t>Venture Strategy</t>
  </si>
  <si>
    <t>357693</t>
  </si>
  <si>
    <t>357694</t>
  </si>
  <si>
    <t>357697</t>
  </si>
  <si>
    <t>Progeny ProFolio Model 30-50% Shares</t>
  </si>
  <si>
    <t>Progeny ProFolio Model 50-70% Shares</t>
  </si>
  <si>
    <t>Progeny ProFolio Model 70-90% Shares</t>
  </si>
  <si>
    <t>Net Assets</t>
  </si>
  <si>
    <t>Shares Outstanding of the fund</t>
  </si>
  <si>
    <t>Valuation Period-End Date</t>
  </si>
  <si>
    <t>PROGENY DYNAMIC EQUITY</t>
  </si>
  <si>
    <t>PROGENY DYNAMIC BOND</t>
  </si>
  <si>
    <t>PROGENY SYSTEMATIC EQUITY</t>
  </si>
  <si>
    <t>PROGENY SYSTEMATIC BOND</t>
  </si>
  <si>
    <t>PRIMA CAUTIOUS FUND</t>
  </si>
  <si>
    <t>PRIMA BALANCED FUND</t>
  </si>
  <si>
    <t>PRIMA ADVENTUROUS FUND</t>
  </si>
  <si>
    <t>WEALTH ADVENTUROUS</t>
  </si>
  <si>
    <t>WEALTH BALANCED</t>
  </si>
  <si>
    <t>WEALTH DEFENSIVE</t>
  </si>
  <si>
    <t>CLARION NAVIGATOR</t>
  </si>
  <si>
    <t>OPES INCOME</t>
  </si>
  <si>
    <t>PROFOLIO MODEL 30-50%</t>
  </si>
  <si>
    <t>PROFOLIO MODEL 50-70%</t>
  </si>
  <si>
    <t>PROFOLIO MODEL 70-90%</t>
  </si>
  <si>
    <t>INTERNATIONAL</t>
  </si>
  <si>
    <t>PROVIDENCE</t>
  </si>
  <si>
    <t>SELECT</t>
  </si>
  <si>
    <t>VENTURE</t>
  </si>
  <si>
    <t>OPES GROWTH</t>
  </si>
  <si>
    <t>FUTUREMONEY REAL VALUE</t>
  </si>
  <si>
    <t>FUTUREMONEY REAL GROWTH</t>
  </si>
  <si>
    <t>FUTUREMONEY DYN GROWTH</t>
  </si>
  <si>
    <t>FUTUREMONEY INCOME</t>
  </si>
  <si>
    <t>AFH TACTICAL CORE</t>
  </si>
  <si>
    <t>ST JOHNS HGH INC PROPERTY</t>
  </si>
  <si>
    <t>CLARION PRUDENCE</t>
  </si>
  <si>
    <t>CLARION EXPLORER</t>
  </si>
  <si>
    <t>CLARION MERIDIAN</t>
  </si>
  <si>
    <t>TEMPUS CAUTIOUS</t>
  </si>
  <si>
    <t>TEMPUS UNIVERSAL</t>
  </si>
  <si>
    <t>IDAD REFINED GROWTH FUND</t>
  </si>
  <si>
    <t>IDAD FUTURE WEALTH FUND</t>
  </si>
  <si>
    <t>SENTINEL DEFENSIVE</t>
  </si>
  <si>
    <t>SENTINEL ENTERPRISE</t>
  </si>
  <si>
    <t>SENTINEL UNIVERSAL</t>
  </si>
  <si>
    <t>ST JOHNS PROPERTY TRUST</t>
  </si>
  <si>
    <t>SENTINEL NAVIGATOR</t>
  </si>
  <si>
    <t>SENTINEL GROWTH</t>
  </si>
  <si>
    <t>TR Property Investment Trust</t>
  </si>
  <si>
    <t>SIIION Cautious Fund</t>
  </si>
  <si>
    <t>SIIION Balanced Fund</t>
  </si>
  <si>
    <t>SIIION Adventurous Fund</t>
  </si>
  <si>
    <t>356578</t>
  </si>
  <si>
    <t>SIIION CAUTIOUS FUND</t>
  </si>
  <si>
    <t>356579</t>
  </si>
  <si>
    <t>SIIION BALANCED FUND</t>
  </si>
  <si>
    <t>356580</t>
  </si>
  <si>
    <t>SIIION ADVENTUROUS FUND</t>
  </si>
  <si>
    <t>GB00BVRZK937</t>
  </si>
  <si>
    <t>BNY Mellon Global Emerging Markets Opportunities Fund Institutional W Accumulation</t>
  </si>
  <si>
    <t>GB00BMNR1H58</t>
  </si>
  <si>
    <t>Royal London Short Term Fixed Income Fund Y Acc</t>
  </si>
  <si>
    <t>GB0031919235</t>
  </si>
  <si>
    <t>Janus Henderson Global Financials Fund I Acc</t>
  </si>
  <si>
    <t>GB00BFX3K770</t>
  </si>
  <si>
    <t>Gresham House Energy Storage Fund PLC</t>
  </si>
  <si>
    <t>Aequitas Adventurous</t>
  </si>
  <si>
    <t>Aequitas Balanced</t>
  </si>
  <si>
    <t>Aequitas Cautious</t>
  </si>
  <si>
    <t>Aequitas Defensive</t>
  </si>
  <si>
    <t>116011</t>
  </si>
  <si>
    <t>AEQUITAS DEFENSIVE</t>
  </si>
  <si>
    <t>116018</t>
  </si>
  <si>
    <t>AEQUITAS CAUTIOUS</t>
  </si>
  <si>
    <t>116043</t>
  </si>
  <si>
    <t>AEQUITAS BALANCED</t>
  </si>
  <si>
    <t>116048</t>
  </si>
  <si>
    <t>AEQUITAS ADVENTUROUS</t>
  </si>
  <si>
    <t>FRONTIER CAUTIOUS</t>
  </si>
  <si>
    <t>FRONTIER ADVENTUROUS</t>
  </si>
  <si>
    <t>ARDEVORA UK INCOME</t>
  </si>
  <si>
    <t>GB00B59G4H82</t>
  </si>
  <si>
    <t>Vanguard FTSE U.K. Eq Inc Idx Acc</t>
  </si>
  <si>
    <t>GB0004460803</t>
  </si>
  <si>
    <t>Aviva UK Listed Equity Income 2 £ Inc</t>
  </si>
  <si>
    <t>GB00B2PLJH12</t>
  </si>
  <si>
    <t>Artemis Income I Acc</t>
  </si>
  <si>
    <t>GB00BQJZV592</t>
  </si>
  <si>
    <t>BlackRock Corporate Bond X Acc</t>
  </si>
  <si>
    <t>GB00BYSWX517</t>
  </si>
  <si>
    <t>Threadneedle UK Eq Inc Ins Acc GBP</t>
  </si>
  <si>
    <t>GB00BF7M7V38</t>
  </si>
  <si>
    <t>GAM UK Equity Income Z Acc</t>
  </si>
  <si>
    <t>GB00B28J0V38</t>
  </si>
  <si>
    <t>IP European Equity Income No Trail Acc</t>
  </si>
  <si>
    <t>GB0032084708</t>
  </si>
  <si>
    <t>SVM UK Growth Institutional</t>
  </si>
  <si>
    <t>GB00B4KL9F89</t>
  </si>
  <si>
    <t>Jupiter UK Special Situations I Acc</t>
  </si>
  <si>
    <t>GB00BW9Z0V08</t>
  </si>
  <si>
    <t>BlackRock European Dynamic FX Acc</t>
  </si>
  <si>
    <t>GB00BD050G12</t>
  </si>
  <si>
    <t>Royal London Shrt Dur Glb Idx Lnkd Inc Z</t>
  </si>
  <si>
    <t>GB00BZ1N2P12</t>
  </si>
  <si>
    <t>BlackRock UK Income X GBP Acc</t>
  </si>
  <si>
    <t>GB00BHCQVM34</t>
  </si>
  <si>
    <t>Rathbone Income S Acc</t>
  </si>
  <si>
    <t>GB00B2Q5DR06</t>
  </si>
  <si>
    <t>JPM US Select C Net Acc</t>
  </si>
  <si>
    <t>GB00BYSXC022</t>
  </si>
  <si>
    <t>BlackRock Continental Euro X Acc</t>
  </si>
  <si>
    <t>GB00BDD2J739</t>
  </si>
  <si>
    <t>Schroder Tokyo L GBP Acc</t>
  </si>
  <si>
    <t>GB0005803530</t>
  </si>
  <si>
    <t>Blackrock UK Equity I Acc</t>
  </si>
  <si>
    <t>GB0033874768</t>
  </si>
  <si>
    <t>Stewart Inv Asia Pac Ldrs B Acc GBP</t>
  </si>
  <si>
    <t>GB00BG0QPJ30</t>
  </si>
  <si>
    <t>L&amp;G UK Index C Acc</t>
  </si>
  <si>
    <t>GB00B9SMK778</t>
  </si>
  <si>
    <t>Fidelity Emerging Markets W Acc</t>
  </si>
  <si>
    <t>IE00B27YCK28</t>
  </si>
  <si>
    <t>iShares MSCI EM Latin America Dist</t>
  </si>
  <si>
    <t>LU1841731745</t>
  </si>
  <si>
    <t>Lyxor MSCI China UCITS ETF Acc</t>
  </si>
  <si>
    <t>IE00B5339C57</t>
  </si>
  <si>
    <t>Polar Capital Global Insurance I Acc</t>
  </si>
  <si>
    <t>GB0006061963</t>
  </si>
  <si>
    <t>Baillie Gifford American B Acc</t>
  </si>
  <si>
    <t>GB0008446063</t>
  </si>
  <si>
    <t>EdenTree UK Equity Growth B</t>
  </si>
  <si>
    <t>GB00BWNGXJ86</t>
  </si>
  <si>
    <t>FSSA Asia Focus B GBP Acc</t>
  </si>
  <si>
    <t>IE00BD81XX91</t>
  </si>
  <si>
    <t>Polar Capital UK Val Opp I GBP Acc</t>
  </si>
  <si>
    <t>GB00B7KCG406</t>
  </si>
  <si>
    <t>Franklin US Opportunities W Acc</t>
  </si>
  <si>
    <t>GB00BMMV5105</t>
  </si>
  <si>
    <t>Artemis US Select Fund I Acc GBP</t>
  </si>
  <si>
    <t>IE00B3NLDF60</t>
  </si>
  <si>
    <t>Polar Capital Healthcare Opportunities I Inc</t>
  </si>
  <si>
    <t>IE00BF0GL543</t>
  </si>
  <si>
    <t>Polar Capital Automation and AI Fund I Acc</t>
  </si>
  <si>
    <t>GB00B2PLJJ36</t>
  </si>
  <si>
    <t>Artemis Income I Inc</t>
  </si>
  <si>
    <t>GB00B00Z1R87</t>
  </si>
  <si>
    <t>Unicorn UK Income B Inc</t>
  </si>
  <si>
    <t>GB00B2PLJN71</t>
  </si>
  <si>
    <t>Artemis High Income QI Inc</t>
  </si>
  <si>
    <t>GB00B8N45Q51</t>
  </si>
  <si>
    <t>IP Monthly Income Plus Z Inc</t>
  </si>
  <si>
    <t>GB00BDD29849</t>
  </si>
  <si>
    <t>Schroder Asian Income L GBP Inc</t>
  </si>
  <si>
    <t>GB00BP8RY838</t>
  </si>
  <si>
    <t>Fidelity Index US P Inc</t>
  </si>
  <si>
    <t>GB0005947741</t>
  </si>
  <si>
    <t>Baillie Gifford Strategic Bond B Inc</t>
  </si>
  <si>
    <t>GB00B7VX3J60</t>
  </si>
  <si>
    <t>SLI Global Emerging Mrkt Eq Income Inst Inc</t>
  </si>
  <si>
    <t>GB00BD7XZ185</t>
  </si>
  <si>
    <t>Fidelity European I Inc</t>
  </si>
  <si>
    <t>GB00BJT0KT28</t>
  </si>
  <si>
    <t>Artemis Strategic Bond Fund I Quarterly Inc</t>
  </si>
  <si>
    <t>GB00B5B74S01</t>
  </si>
  <si>
    <t>Vanguard US Equity Index Inc</t>
  </si>
  <si>
    <t>GB00BMF7D779</t>
  </si>
  <si>
    <t>FTF ClearBridge Global Infrastructure Income Fund W Income</t>
  </si>
  <si>
    <t>GB00BGPFJN79</t>
  </si>
  <si>
    <t>LF Lightman European Fund R Acc</t>
  </si>
  <si>
    <t>GB00B6R51K64</t>
  </si>
  <si>
    <t>Aviva Investors UK Equity Income 2 £ Acc</t>
  </si>
  <si>
    <t>GB00BBX46308</t>
  </si>
  <si>
    <t>SLI Global Index Linked Bond Inst S Acc</t>
  </si>
  <si>
    <t>GB00BG48LT79</t>
  </si>
  <si>
    <t>Royal London UK Equity Income Z GBP Inc</t>
  </si>
  <si>
    <t>GB00B5BRW420</t>
  </si>
  <si>
    <t>Royal London UK Mid-Cap Growth Instl M</t>
  </si>
  <si>
    <t>GB00B8278F56</t>
  </si>
  <si>
    <t>Premier Miton US Opportunities B Acc</t>
  </si>
  <si>
    <t>GB00BMF7D555</t>
  </si>
  <si>
    <t>FTF ClearBridge Global Infrastructure Income Fund W Accumulation</t>
  </si>
  <si>
    <t>GB00B460GC50</t>
  </si>
  <si>
    <t>M&amp;G UK Inflation Lnkd Corp Bd GBP I Acc</t>
  </si>
  <si>
    <t>GB0001448785</t>
  </si>
  <si>
    <t>Threadneedle UK Eq Inc Inst Inc GBP</t>
  </si>
  <si>
    <t>GB00B39R2R32</t>
  </si>
  <si>
    <t>M&amp;G Global Dividend GBP I Inc</t>
  </si>
  <si>
    <t>GB0007502080</t>
  </si>
  <si>
    <t>Henderson Strategic Bond I Inc</t>
  </si>
  <si>
    <t>GB00BYSXC139</t>
  </si>
  <si>
    <t>BlackRock Continental Euro Inc X GBP Acc</t>
  </si>
  <si>
    <t>GB00BZ0YDT65</t>
  </si>
  <si>
    <t>M&amp;G Emerging Markets Bond GBP I-H Inc</t>
  </si>
  <si>
    <t>GB00BHCQNL68</t>
  </si>
  <si>
    <t>Rathbone Income S Inc</t>
  </si>
  <si>
    <t>GB00B4TL2D89</t>
  </si>
  <si>
    <t>M&amp;G Emerging Markets Bond Fund Sterling I Inc</t>
  </si>
  <si>
    <t>GB00BWC1JL84</t>
  </si>
  <si>
    <t>BlackRock Asia Z Acc GBP</t>
  </si>
  <si>
    <t>GB00B8QW1M42</t>
  </si>
  <si>
    <t>Premier Miton UK Value Opps B Instl Acc</t>
  </si>
  <si>
    <t>GB00B18B9X76</t>
  </si>
  <si>
    <t>LF Lindsell Train UK Equity Acc</t>
  </si>
  <si>
    <t>GB0006011133</t>
  </si>
  <si>
    <t>Baillie Gifford Japanese B Acc</t>
  </si>
  <si>
    <t>GB00B5B71H80</t>
  </si>
  <si>
    <t>Vanguard FTSE Dev Eurp ex UK Eq Idx Acc</t>
  </si>
  <si>
    <t>IE00BDFK1N50</t>
  </si>
  <si>
    <t>iShares $ Treasury Bd 1-3yr ETF GBPHDist</t>
  </si>
  <si>
    <t>GB00B8GJ8S05</t>
  </si>
  <si>
    <t>Royal London Sterling Credit Fund M Acc</t>
  </si>
  <si>
    <t>GB00B1W0GF10</t>
  </si>
  <si>
    <t>Baillie Gifford High Yield Bond Fund B Acc</t>
  </si>
  <si>
    <t>GB00BJT0KV40</t>
  </si>
  <si>
    <t>Artemis Strategic Bond Fund I Monthly Acc</t>
  </si>
  <si>
    <t>GB00BD8HBD32</t>
  </si>
  <si>
    <t>Civitas Social Housing Plc</t>
  </si>
  <si>
    <t>IE00BGPP8L80</t>
  </si>
  <si>
    <t>iShares Edge MSCI World Min Vol ETF Hgd Acc</t>
  </si>
  <si>
    <t>GB00B83RVT96</t>
  </si>
  <si>
    <t>iShares Index Linked Gilt Index D Acc</t>
  </si>
  <si>
    <t>UK Index Linked Bonds</t>
  </si>
  <si>
    <t>GB00B8Q77S73</t>
  </si>
  <si>
    <t>Threadneedle ICVC Emg Markets Bond Fund ZGA</t>
  </si>
  <si>
    <t>GB00B0CNH387</t>
  </si>
  <si>
    <t>L&amp;G Global Health &amp; Pharma Ind Trust I Acc</t>
  </si>
  <si>
    <t>GB00B8N44V30</t>
  </si>
  <si>
    <t>Invesco China Equity Fund UK Z Acc</t>
  </si>
  <si>
    <t>GB0006436108</t>
  </si>
  <si>
    <t>BlackRock Smaller Companies Trust (BRSC)</t>
  </si>
  <si>
    <t>GB00B0CNH163</t>
  </si>
  <si>
    <t>L&amp;G Global Technology Index Trust I Acc</t>
  </si>
  <si>
    <t>54321</t>
  </si>
  <si>
    <t>Sample 08:30 VP</t>
  </si>
  <si>
    <t>GB00B01BP952</t>
  </si>
  <si>
    <t>Troy Trojan O Acc</t>
  </si>
  <si>
    <t>Flexible Investment</t>
  </si>
  <si>
    <t>GB00BCZRNN30</t>
  </si>
  <si>
    <t>BlackRock European Dynamic FD Acc</t>
  </si>
  <si>
    <t>GB00BMMV5G59</t>
  </si>
  <si>
    <t>Artemis US Extended Alpha I GBP Acc</t>
  </si>
  <si>
    <t>GB00B4WKYF80</t>
  </si>
  <si>
    <t>JPM Global Macro Opportunities C Net Acc</t>
  </si>
  <si>
    <t>GB00BF09N571</t>
  </si>
  <si>
    <t>GAM UK Equity Income Z £ Inc</t>
  </si>
  <si>
    <t>GB00BYRJ5J14</t>
  </si>
  <si>
    <t>Primary Health</t>
  </si>
  <si>
    <t>IE00BDTYJH37</t>
  </si>
  <si>
    <t>Polar Global Absolute Return - S GBP Hedged Acc</t>
  </si>
  <si>
    <t>SX5E_Near</t>
  </si>
  <si>
    <t>EuroStoxx 50 Nearest Index</t>
  </si>
  <si>
    <t>Other Open-Ended Funds</t>
  </si>
  <si>
    <t>ASX_NEAR</t>
  </si>
  <si>
    <t>FTSE All Share Index</t>
  </si>
  <si>
    <t>HIS_NEAR</t>
  </si>
  <si>
    <t>Hang Seng 50 Nearest Future</t>
  </si>
  <si>
    <t>NI225_NEAR</t>
  </si>
  <si>
    <t>Nikkei 225 Nearest Future</t>
  </si>
  <si>
    <t>MSCIEF_NEAR</t>
  </si>
  <si>
    <t>MSCI Emerging Markets Nearest Future</t>
  </si>
  <si>
    <t>SPX_NEAR</t>
  </si>
  <si>
    <t>S&amp;P 500 Nearest Future</t>
  </si>
  <si>
    <t>SPX_CLOSE</t>
  </si>
  <si>
    <t>S&amp;P 500 Nearest Future Close</t>
  </si>
  <si>
    <t>HIS_CLOSE</t>
  </si>
  <si>
    <t>Hang Seng 50 Nearest Future Close</t>
  </si>
  <si>
    <t>NI225_CLOSE</t>
  </si>
  <si>
    <t>Nikkei 225 Nearest Future Close</t>
  </si>
  <si>
    <t>MSCIEF_CLOSE</t>
  </si>
  <si>
    <t>MSCI Emerging Markets Nearest Close</t>
  </si>
  <si>
    <t>GB0004073002</t>
  </si>
  <si>
    <t>Premier Miton Responsible UK Equity Fund</t>
  </si>
  <si>
    <t>GB00BJK12K94</t>
  </si>
  <si>
    <t>ARC TIME Social Long Income PAIF Fund O Gross Income</t>
  </si>
  <si>
    <t>GB00BJXPPL03</t>
  </si>
  <si>
    <t>Artemis Target Return Bond Fund F GBP Inc</t>
  </si>
  <si>
    <t>GB00BP855954</t>
  </si>
  <si>
    <t>MI Chelverton UK Equity Growth Fund B Inc</t>
  </si>
  <si>
    <t>GB00BZ012J01</t>
  </si>
  <si>
    <t>Eden Tree Responsible and Sustainable Short Dated Bond B Gross Income</t>
  </si>
  <si>
    <t>GB00BFX1KF98</t>
  </si>
  <si>
    <t>IFSL Brooks Macdonald Defensive Capital Class C GBP Inc</t>
  </si>
  <si>
    <t>GB00BNBNRD03</t>
  </si>
  <si>
    <t>SVS Church House Tenax Abs Ret Strategies Fund C Inc</t>
  </si>
  <si>
    <t>GB00B4TXJ339</t>
  </si>
  <si>
    <t>J O Hambro Capital Management UK Dynamic B Inc</t>
  </si>
  <si>
    <t>GB00BJCWFY55</t>
  </si>
  <si>
    <t>LF Lightman European Fund I Inc</t>
  </si>
  <si>
    <t>MXWO_CLOSE</t>
  </si>
  <si>
    <t>MSCI World Index Nearest Close</t>
  </si>
  <si>
    <t>GB00BFNL2N15</t>
  </si>
  <si>
    <t>MI Chelverton European Select B Inc</t>
  </si>
  <si>
    <t>IE00BPT2BB99</t>
  </si>
  <si>
    <t>Vanguard Emerging Markets Stock Index Fund Institutional Plus GBP Acc</t>
  </si>
  <si>
    <t>IE00BW38V677</t>
  </si>
  <si>
    <t>Nomura Japan Strategic Value Fund Class RD GBP Hedged</t>
  </si>
  <si>
    <t>GB00B1F76N79</t>
  </si>
  <si>
    <t>First Sentier Gbl Property Fund B Acc GBP</t>
  </si>
  <si>
    <t>Property Other</t>
  </si>
  <si>
    <t>GB00BYX11W63</t>
  </si>
  <si>
    <t>Valu-Trac Protean Capital Elder Class A Acc GBP</t>
  </si>
  <si>
    <t>GB00BNXKTN30</t>
  </si>
  <si>
    <t>Fidelity European Fund I Acc GBP</t>
  </si>
  <si>
    <t>IE00BKF2RX20</t>
  </si>
  <si>
    <t>Lazard Rathmore Alternative Fund S Acc GBP Hedged</t>
  </si>
  <si>
    <t>GB00BTHH0518</t>
  </si>
  <si>
    <t>Premier Miton Defensive Growth C Acc</t>
  </si>
  <si>
    <t>IE000I584EU4</t>
  </si>
  <si>
    <t>Pimco Trends Managed Futures Strategy Fund Inc</t>
  </si>
  <si>
    <t>GB00B0HW5366</t>
  </si>
  <si>
    <t>Real Estate Credit Investments Ord</t>
  </si>
  <si>
    <t>IE00BJ321D56</t>
  </si>
  <si>
    <t>Wellington Global Impact Bond Fund S GBP Inc Hedged</t>
  </si>
  <si>
    <t>IE00BJXC4033</t>
  </si>
  <si>
    <t>Eaton Vance Emerging Markets Debt Opps Fund S GBP Hedged Inc</t>
  </si>
  <si>
    <t>IE00BTL1GV74</t>
  </si>
  <si>
    <t>Nomura Global Dynamic Bond Fund Cls I Hedged</t>
  </si>
  <si>
    <t>GB00BKPWGV34</t>
  </si>
  <si>
    <t>Artemis Corporate Bond Fund I Inc</t>
  </si>
  <si>
    <t>IE00BNG7CC11</t>
  </si>
  <si>
    <t>Lazard Global Convertibles Recovery Fund Class A Dist GBP Hedged</t>
  </si>
  <si>
    <t>Convertible Bond - Global GBP Hedged</t>
  </si>
  <si>
    <t>GG00BNNLWT35</t>
  </si>
  <si>
    <t>Fair Oaks Income Ltd - 2021</t>
  </si>
  <si>
    <t>GB00BMWVS664</t>
  </si>
  <si>
    <t>Premier Miton Financials Capital Securities C Income Acc GBP</t>
  </si>
  <si>
    <t>LU1398137742</t>
  </si>
  <si>
    <t>AXA World Funds - Asian High Yield Bonds I Capital GBP Hedged</t>
  </si>
  <si>
    <t>IE00BJCWX181</t>
  </si>
  <si>
    <t>PGIM Emerging Market Total Return Bond Fund GBP Hedged I Inc</t>
  </si>
  <si>
    <t>GB00BFLTL413</t>
  </si>
  <si>
    <t>IFSL Church House Investment Grade Fixed Interest Fund XL Institutional Inc</t>
  </si>
  <si>
    <t>GB00B743QK57</t>
  </si>
  <si>
    <t>Jupiter-cp Bd-ii</t>
  </si>
  <si>
    <t>IE000SI6C4R2</t>
  </si>
  <si>
    <t>Muzinich Dynamic Credit Income Fund Hedged GBP Inc</t>
  </si>
  <si>
    <t>LU1407888483</t>
  </si>
  <si>
    <t>Lyxor US Treasury 7-10Y (DR) UCITS ETF GBP Hedged</t>
  </si>
  <si>
    <t>IE000X3E19E0</t>
  </si>
  <si>
    <t>Variety CKC Credit Opportunity Fund F GBP Acc</t>
  </si>
  <si>
    <t>GB0001740025</t>
  </si>
  <si>
    <t>JPMorgan Japanese Invest Trust</t>
  </si>
  <si>
    <t>IE00BKLTP554</t>
  </si>
  <si>
    <t>Legg Mason ClearBridge US Equity Sustainability Leaders Fund S Class GBP Acc</t>
  </si>
  <si>
    <t>LU1311312596</t>
  </si>
  <si>
    <t>Matthews Asia Funds - Asia Ex Japan Dividend Fund S GBP Dist</t>
  </si>
  <si>
    <t>LU1390214952</t>
  </si>
  <si>
    <t>Gs Emerging Markets Equity I Inc</t>
  </si>
  <si>
    <t>IE00B51BJD26</t>
  </si>
  <si>
    <t>Dodge &amp; Cox Worldwide Funds plc - US Stock Fund</t>
  </si>
  <si>
    <t>BMG670131058</t>
  </si>
  <si>
    <t>Oakley Capital Investments</t>
  </si>
  <si>
    <t>GB00B19DCX31</t>
  </si>
  <si>
    <t>HSBC US Multi-Factor Equity Fund Institutional A Acc</t>
  </si>
  <si>
    <t>LU1940966150</t>
  </si>
  <si>
    <t>Redwheel Next Generation Emerging Markets Equity Fund I GBP Inc</t>
  </si>
  <si>
    <t>GB0001530459</t>
  </si>
  <si>
    <t>Threadneedle American Smaller Companies Fund US Institutional Acc GBP</t>
  </si>
  <si>
    <t>LU1574072879</t>
  </si>
  <si>
    <t>GAM Multistock - China Evolution Equity GBP R Acc</t>
  </si>
  <si>
    <t>IE00BMCM3082</t>
  </si>
  <si>
    <t>Aikya Global Emerging Markets Fund UCITS I Share Class GBP Acc</t>
  </si>
  <si>
    <t>IE00BW38V123</t>
  </si>
  <si>
    <t>Nomura Fds Japan Strategic Value RD GBP</t>
  </si>
  <si>
    <t>GG00BGJYPP46</t>
  </si>
  <si>
    <t>Chrysalis Investments Limited Ord</t>
  </si>
  <si>
    <t>GB00B8C0JY03</t>
  </si>
  <si>
    <t>Royal London Sustainable Leaders Trust Class D Inc</t>
  </si>
  <si>
    <t>GB00BKTW4V58</t>
  </si>
  <si>
    <t>Trojan Ethical Income Fund X Income</t>
  </si>
  <si>
    <t>GB00BYXVGR68</t>
  </si>
  <si>
    <t>LF Gresham House UK Multi Cap Income Fund F Sterling Inc</t>
  </si>
  <si>
    <t>GB00BPR9Y576</t>
  </si>
  <si>
    <t>Royal London UK Dividend Growth Z Inc</t>
  </si>
  <si>
    <t>GB00BJ0CJK19</t>
  </si>
  <si>
    <t>ES River and Mercantile UK Equity Inc Fund S Inc</t>
  </si>
  <si>
    <t>GB00BYSX1508</t>
  </si>
  <si>
    <t>Residential Secure Income Plc</t>
  </si>
  <si>
    <t>GB00B01HM147</t>
  </si>
  <si>
    <t>Schroder Real Estate Investment Trust</t>
  </si>
  <si>
    <t>GB00B0LD3Y28</t>
  </si>
  <si>
    <t>ASI Global Real Estate Fund Institutional Inc</t>
  </si>
  <si>
    <t>Property - Direct Global</t>
  </si>
  <si>
    <t>GB00BDD2DR16</t>
  </si>
  <si>
    <t>Schroder Global Cities Real Estate Class L Inc</t>
  </si>
  <si>
    <t>GB00BJJPV507</t>
  </si>
  <si>
    <t>ARC TIME Commercial Long Income PAIF Class O Gross Inc Shares</t>
  </si>
  <si>
    <t>GB00B65PFX94</t>
  </si>
  <si>
    <t>Premier Miton Pan European Property Share C Inc</t>
  </si>
  <si>
    <t>GB00BLHXV725</t>
  </si>
  <si>
    <t>TM Home Investor Fund Class E GBP Inc</t>
  </si>
  <si>
    <t>GB00BK35DT11</t>
  </si>
  <si>
    <t>Legal &amp; General UK Property Fund I Inc</t>
  </si>
  <si>
    <t>GB00BMDZR824</t>
  </si>
  <si>
    <t>Janus Henderson Global Property Equities Fund G Inc GBP</t>
  </si>
  <si>
    <t>GB00B018CS46</t>
  </si>
  <si>
    <t>Ruffer Investment Company Limited</t>
  </si>
  <si>
    <t>GG00BJ0JVY01</t>
  </si>
  <si>
    <t>NextEnergy Solar Fund Ltd</t>
  </si>
  <si>
    <t>XS2115336336</t>
  </si>
  <si>
    <t>Royal Mint Physical Gold ETC</t>
  </si>
  <si>
    <t>GB00BYVB3Q65</t>
  </si>
  <si>
    <t>VT Gravis UK Infrastructure Income Fund I GBP Inc</t>
  </si>
  <si>
    <t>IE00BJBM7C83</t>
  </si>
  <si>
    <t>Lazard Rathmore Alternative Fund S Inc GBP Hedged</t>
  </si>
  <si>
    <t>LU1530788402</t>
  </si>
  <si>
    <t>Vontobel - TwentyFour Abs Ret Credit Fund AQG</t>
  </si>
  <si>
    <t>GB00BGV7K905</t>
  </si>
  <si>
    <t>VT RM Alternative Income Fund Class F GBP Acc</t>
  </si>
  <si>
    <t>LU2002382575</t>
  </si>
  <si>
    <t>Protea UCITS II Eco Advisors ESG Abs Ret P Class</t>
  </si>
  <si>
    <t>XS2279185198</t>
  </si>
  <si>
    <t>Barclays 3 Year USD Tracker Commodity Basket</t>
  </si>
  <si>
    <t>XS2392607649</t>
  </si>
  <si>
    <t>BNP Paribas Issuance BV 2Y GBP 100% Capital Protected Capped Bull Certificate 08/07/2024 NKY SPX</t>
  </si>
  <si>
    <t>LU1906307902</t>
  </si>
  <si>
    <t>Goldman Sachs Alternative Trend Portfolio I Inc GBP-Hedged</t>
  </si>
  <si>
    <t>GB0005030373</t>
  </si>
  <si>
    <t>Janus Henderson UK Responsible Inc I Inc</t>
  </si>
  <si>
    <t>GB0005030043</t>
  </si>
  <si>
    <t>Janus Henderson Global Sustainable Equity I Inc</t>
  </si>
  <si>
    <t>GB00BJ066X51</t>
  </si>
  <si>
    <t>BNY Mellon Sustainable Global Equity Income Fund F Inc</t>
  </si>
  <si>
    <t>GB00BJ4KSZ90</t>
  </si>
  <si>
    <t>Royal London Ethical Bond Z Inc</t>
  </si>
  <si>
    <t>GB00BMCZDJ66</t>
  </si>
  <si>
    <t>Regnan Global Equity Impact Solutions F GBP Acc</t>
  </si>
  <si>
    <t>LU2004409434</t>
  </si>
  <si>
    <t>Jpmorgan Global Macro Sustainable Fund C ACC GBP hedged</t>
  </si>
  <si>
    <t>Alt - Global Macro</t>
  </si>
  <si>
    <t>LU2081485240</t>
  </si>
  <si>
    <t>Vontobel Fund TwentyFour Sustainable Short Term Bond Inc G GBP</t>
  </si>
  <si>
    <t>Short Dated Bonds</t>
  </si>
  <si>
    <t>LU2549760085</t>
  </si>
  <si>
    <t>Vontobel TwentyFour Sustainable Strategic Income Fund Inc</t>
  </si>
  <si>
    <t>GB00B2PF8D20</t>
  </si>
  <si>
    <t>EdenTree Responsible and Sustainable Sterling Bond Fund B</t>
  </si>
  <si>
    <t>GBP Flexible Bond</t>
  </si>
  <si>
    <t>GB00B1XFJD49</t>
  </si>
  <si>
    <t>Investec Asia ex Japan I Acc Net</t>
  </si>
  <si>
    <t>IE00B3DJ5K90</t>
  </si>
  <si>
    <t>Hermes Global Emerging Mkts F GBP Acc</t>
  </si>
  <si>
    <t>GB00BG0J2688</t>
  </si>
  <si>
    <t>Liontrust Special Situations I Acc</t>
  </si>
  <si>
    <t>GB00BZ8GWW04</t>
  </si>
  <si>
    <t>Invesco UK Enhanced Index UK Y Acc</t>
  </si>
  <si>
    <t>GB00BD446P55</t>
  </si>
  <si>
    <t>T. Rowe Price Funds OEIC US Smaller Companies Equity Fund C GBP Acc</t>
  </si>
  <si>
    <t>GB00BHZK8872</t>
  </si>
  <si>
    <t>Fidelity Index Japan P Acc</t>
  </si>
  <si>
    <t>GB00B5MJ5601</t>
  </si>
  <si>
    <t>FTF Franklin UK Rising Dividends Fund W Acc</t>
  </si>
  <si>
    <t>GB00BPN5P238</t>
  </si>
  <si>
    <t>Vanguard U.S. Equity Index Fund Institutional Plus GBP Acc</t>
  </si>
  <si>
    <t>GB00B8FCHK57</t>
  </si>
  <si>
    <t>J O Hambro Capital Management UK Equity Income Y GBP Acc</t>
  </si>
  <si>
    <t>GB00BD050D80</t>
  </si>
  <si>
    <t>Royal London Short Duration Gilts Z Inc</t>
  </si>
  <si>
    <t>IE00B3PVQJ91</t>
  </si>
  <si>
    <t>Dimensional Sterling Inflation Linked Intermediate Duration Fixed Income Fund GBP Acc</t>
  </si>
  <si>
    <t>IE00BPT2BQ43</t>
  </si>
  <si>
    <t>Vanguard Global Bond Index Fund Institutional Plus GBP Hedged Acc</t>
  </si>
  <si>
    <t>IE00BPT2BS66</t>
  </si>
  <si>
    <t>Vanguard UK Government Bond Index Fund Institutional Plus GBP Acc</t>
  </si>
  <si>
    <t>IA UK Gilts</t>
  </si>
  <si>
    <t>GB00BNLYR000</t>
  </si>
  <si>
    <t>Man GLG Sterling Corporate Bond Fund Institutional Accumulation F</t>
  </si>
  <si>
    <t>GB00BKX8GD57</t>
  </si>
  <si>
    <t>Fidelity Index Sterling Corporate Bond Fund P GBP Acc</t>
  </si>
  <si>
    <t>IE00BDFB5D65</t>
  </si>
  <si>
    <t>Vanguard Global Corporate Bond Index Fund Institutional Plus GBP Hedged Acc</t>
  </si>
  <si>
    <t>GB00BKTDV732</t>
  </si>
  <si>
    <t>JPM Global Corporate Bond Fund C Acc</t>
  </si>
  <si>
    <t>IE0007XHW766</t>
  </si>
  <si>
    <t>Vanguard Global Credit Bond Fund Institutional GBP Hedged Acc</t>
  </si>
  <si>
    <t>GB0033772624</t>
  </si>
  <si>
    <t>Dimensional Emerging Mkts Core Eq Acc</t>
  </si>
  <si>
    <t>GB00BDFZ6G86</t>
  </si>
  <si>
    <t>ASI Asia Pacific Equity Enhanced Index Fund N Acc</t>
  </si>
  <si>
    <t>GB00BDFZ6N53</t>
  </si>
  <si>
    <t>ASI European Equity Enhanced Index Fund N Acc</t>
  </si>
  <si>
    <t>GB00BDFZ6T16</t>
  </si>
  <si>
    <t>ASI Japan Equity Enhanced Index Fund N Acc</t>
  </si>
  <si>
    <t>IE00BPT2BD14</t>
  </si>
  <si>
    <t>Vanguard Global Small-Cap Index Fund Institutional Plus GBP Acc</t>
  </si>
  <si>
    <t>IE00B3NVPH21</t>
  </si>
  <si>
    <t>Dimensional Global Value Fund GBP Acc</t>
  </si>
  <si>
    <t>GB0033771980</t>
  </si>
  <si>
    <t>Dimensional UK Small Companies Fund GBP Acc</t>
  </si>
  <si>
    <t>GB0033771766</t>
  </si>
  <si>
    <t>Dimensional UK Value Fund GBP Acc</t>
  </si>
  <si>
    <t>GB00BF0GX691</t>
  </si>
  <si>
    <t>HSBC Pacific Index Fund S Acc</t>
  </si>
  <si>
    <t>GB00BPN5P907</t>
  </si>
  <si>
    <t>Vanguard FTSE UK All Share Index Unit Trust Institutional Plus GBP Acc</t>
  </si>
  <si>
    <t>GB00BDFZ6M47</t>
  </si>
  <si>
    <t>Asi-gl Cb Tr-na</t>
  </si>
  <si>
    <t>GB00B4QC3311</t>
  </si>
  <si>
    <t>BlackRock Corporate Bond D Acc</t>
  </si>
  <si>
    <t>GB00B5L2N222</t>
  </si>
  <si>
    <t>AXA Sterling Crdt Shrt Dura Bd Z Grs Acc</t>
  </si>
  <si>
    <t>GB00B568S201</t>
  </si>
  <si>
    <t>Artemis Global Select Fund I Acc</t>
  </si>
  <si>
    <t>GB00BD6PG563</t>
  </si>
  <si>
    <t>LF Blue Whale Growth Fund I Sterling Acc</t>
  </si>
  <si>
    <t>IE00BN4GYH92</t>
  </si>
  <si>
    <t>GQG Partners US Equity Fund Class I GBP Acc</t>
  </si>
  <si>
    <t>GB00B7FQM503</t>
  </si>
  <si>
    <t>Rathbone UK Opportunities Fund Institutional Acc</t>
  </si>
  <si>
    <t>GB00B61MR835</t>
  </si>
  <si>
    <t>SVS Brooks Macdonald Defensive Capital Class A Accumulation</t>
  </si>
  <si>
    <t>GB00B7W4GQ69</t>
  </si>
  <si>
    <t>iShares 100 UK Equity Index Fund (UK) D Acc</t>
  </si>
  <si>
    <t>GB00B4ZM1M76</t>
  </si>
  <si>
    <t>Liontrust European Growth I Inc</t>
  </si>
  <si>
    <t>2023-05-15</t>
  </si>
  <si>
    <t>2023-05-12</t>
  </si>
  <si>
    <t>15/05/2023</t>
  </si>
  <si>
    <t>15/05/2023  10:54:28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</si>
</sst>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* #,##0.00_);_(* \(#,##0.00\);_(* &quot;-&quot;??_);_(@_)"/>
    <numFmt numFmtId="165" formatCode="yyyy/mm/dd"/>
    <numFmt numFmtId="166" formatCode="mm/dd/yyyy"/>
    <numFmt numFmtId="167" formatCode="#,##0.0000"/>
  </numFmts>
  <fonts count="1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u/>
      <sz val="8"/>
      <color indexed="12"/>
      <name val="Arial"/>
      <family val="2"/>
    </font>
    <font>
      <b/>
      <u/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9" fontId="2" fillId="0" borderId="0" applyFont="0" applyFill="0" applyBorder="0" applyAlignment="0" applyProtection="0"/>
  </cellStyleXfs>
  <cellXfs count="61">
    <xf numFmtId="0" fontId="0" fillId="0" borderId="0" xfId="0"/>
    <xf numFmtId="49" fontId="0" fillId="0" borderId="0" xfId="0" applyNumberFormat="1"/>
    <xf numFmtId="0" fontId="0" fillId="0" borderId="0" xfId="0" applyNumberFormat="1"/>
    <xf numFmtId="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0" fillId="2" borderId="0" xfId="0" applyFill="1" applyBorder="1"/>
    <xf numFmtId="0" fontId="0" fillId="2" borderId="2" xfId="0" applyFill="1" applyBorder="1"/>
    <xf numFmtId="0" fontId="1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left"/>
    </xf>
    <xf numFmtId="0" fontId="0" fillId="3" borderId="3" xfId="0" applyFill="1" applyBorder="1" applyAlignment="1">
      <alignment horizontal="center"/>
    </xf>
    <xf numFmtId="0" fontId="0" fillId="3" borderId="3" xfId="0" applyFill="1" applyBorder="1" applyAlignment="1">
      <alignment horizontal="left"/>
    </xf>
    <xf numFmtId="0" fontId="1" fillId="0" borderId="1" xfId="0" applyFont="1" applyBorder="1" applyAlignment="1">
      <alignment horizontal="right"/>
    </xf>
    <xf numFmtId="0" fontId="0" fillId="3" borderId="3" xfId="1" applyNumberFormat="1" applyFont="1" applyFill="1" applyBorder="1" applyAlignment="1">
      <alignment horizontal="left"/>
    </xf>
    <xf numFmtId="0" fontId="0" fillId="3" borderId="3" xfId="0" applyNumberFormat="1" applyFill="1" applyBorder="1" applyAlignment="1">
      <alignment horizontal="left"/>
    </xf>
    <xf numFmtId="0" fontId="1" fillId="0" borderId="4" xfId="0" applyFont="1" applyBorder="1" applyAlignment="1">
      <alignment horizontal="center" wrapText="1"/>
    </xf>
    <xf numFmtId="14" fontId="0" fillId="0" borderId="0" xfId="0" applyNumberFormat="1"/>
    <xf numFmtId="14" fontId="0" fillId="2" borderId="0" xfId="0" applyNumberFormat="1" applyFill="1"/>
    <xf numFmtId="14" fontId="0" fillId="2" borderId="0" xfId="0" applyNumberFormat="1" applyFill="1" applyBorder="1"/>
    <xf numFmtId="14" fontId="0" fillId="2" borderId="2" xfId="0" applyNumberFormat="1" applyFill="1" applyBorder="1"/>
    <xf numFmtId="14" fontId="1" fillId="0" borderId="1" xfId="0" applyNumberFormat="1" applyFont="1" applyBorder="1" applyAlignment="1">
      <alignment horizontal="center"/>
    </xf>
    <xf numFmtId="49" fontId="0" fillId="3" borderId="3" xfId="0" applyNumberFormat="1" applyFill="1" applyBorder="1" applyAlignment="1">
      <alignment horizontal="left"/>
    </xf>
    <xf numFmtId="0" fontId="4" fillId="2" borderId="2" xfId="4" applyFont="1" applyFill="1" applyBorder="1" applyAlignment="1" applyProtection="1">
      <alignment vertical="center"/>
    </xf>
    <xf numFmtId="49" fontId="1" fillId="4" borderId="2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right"/>
    </xf>
    <xf numFmtId="0" fontId="5" fillId="5" borderId="0" xfId="0" applyFont="1" applyFill="1" applyAlignment="1">
      <alignment horizontal="left"/>
    </xf>
    <xf numFmtId="22" fontId="5" fillId="5" borderId="0" xfId="0" applyNumberFormat="1" applyFont="1" applyFill="1" applyAlignment="1">
      <alignment horizontal="left"/>
    </xf>
    <xf numFmtId="0" fontId="5" fillId="5" borderId="0" xfId="0" applyFont="1" applyFill="1"/>
    <xf numFmtId="49" fontId="6" fillId="4" borderId="2" xfId="0" applyNumberFormat="1" applyFont="1" applyFill="1" applyBorder="1" applyAlignment="1">
      <alignment horizontal="center"/>
    </xf>
    <xf numFmtId="49" fontId="2" fillId="3" borderId="3" xfId="0" applyNumberFormat="1" applyFont="1" applyFill="1" applyBorder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8" fillId="0" borderId="0" xfId="0" applyFont="1" applyFill="1"/>
    <xf numFmtId="167" fontId="0" fillId="0" borderId="0" xfId="0" applyNumberFormat="1"/>
    <xf numFmtId="0" fontId="0" fillId="0" borderId="0" xfId="0" applyAlignment="1">
      <alignment horizontal="center"/>
    </xf>
    <xf numFmtId="164" fontId="0" fillId="0" borderId="0" xfId="1" applyFont="1"/>
    <xf numFmtId="164" fontId="0" fillId="0" borderId="0" xfId="1" applyFont="1" applyFill="1"/>
    <xf numFmtId="10" fontId="0" fillId="0" borderId="0" xfId="6" applyNumberFormat="1" applyFont="1"/>
    <xf numFmtId="0" fontId="2" fillId="6" borderId="0" xfId="0" applyFont="1" applyFill="1"/>
    <xf numFmtId="164" fontId="2" fillId="0" borderId="0" xfId="1" applyFont="1" applyFill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15" fontId="2" fillId="3" borderId="3" xfId="0" applyNumberFormat="1" applyFont="1" applyFill="1" applyBorder="1" applyAlignment="1">
      <alignment horizontal="left"/>
    </xf>
    <xf numFmtId="10" fontId="8" fillId="0" borderId="0" xfId="6" applyNumberFormat="1" applyFont="1" applyFill="1"/>
    <xf numFmtId="0" fontId="5" fillId="5" borderId="0" xfId="0" applyFont="1" applyFill="1" applyAlignment="1">
      <alignment horizontal="center"/>
    </xf>
  </cellXfs>
  <cellStyles count="7">
    <cellStyle name="Comma" xfId="1" builtinId="3"/>
    <cellStyle name="Comma 2" xfId="2" xr:uid="{00000000-0005-0000-0000-000001000000}"/>
    <cellStyle name="Comma 2 2" xfId="3" xr:uid="{00000000-0005-0000-0000-000002000000}"/>
    <cellStyle name="Hyperlink" xfId="4" builtinId="8"/>
    <cellStyle name="Normal" xfId="0" builtinId="0"/>
    <cellStyle name="Normal 2" xfId="5" xr:uid="{00000000-0005-0000-0000-000005000000}"/>
    <cellStyle name="Percent" xfId="6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H$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F7" fmlaRange="#REF!" sel="0" val="0"/>
</file>

<file path=xl/ctrlProps/ctrlProp5.xml><?xml version="1.0" encoding="utf-8"?>
<formControlPr xmlns="http://schemas.microsoft.com/office/spreadsheetml/2009/9/main" objectType="Drop" dropLines="3" dropStyle="combo" dx="22" fmlaLink="F3" fmlaRange="ViewSelectorValues" sel="0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fmlaLink="$G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Stored Procedure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9567" name="Button 111" hidden="1">
              <a:extLst>
                <a:ext uri="{63B3BB69-23CF-44E3-9099-C40C66FF867C}">
                  <a14:compatExt spid="_x0000_s19567"/>
                </a:ext>
                <a:ext uri="{FF2B5EF4-FFF2-40B4-BE49-F238E27FC236}">
                  <a16:creationId xmlns:a16="http://schemas.microsoft.com/office/drawing/2014/main" id="{00000000-0008-0000-0000-00006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14478000</xdr:colOff>
          <xdr:row>0</xdr:row>
          <xdr:rowOff>24384000</xdr:rowOff>
        </xdr:from>
        <xdr:to>
          <xdr:col>14</xdr:col>
          <xdr:colOff>-23441025</xdr:colOff>
          <xdr:row>2</xdr:row>
          <xdr:rowOff>0</xdr:rowOff>
        </xdr:to>
        <xdr:sp macro="" textlink="">
          <xdr:nvSpPr>
            <xdr:cNvPr id="19573" name="Button 117" hidden="1">
              <a:extLst>
                <a:ext uri="{63B3BB69-23CF-44E3-9099-C40C66FF867C}">
                  <a14:compatExt spid="_x0000_s19573"/>
                </a:ext>
                <a:ext uri="{FF2B5EF4-FFF2-40B4-BE49-F238E27FC236}">
                  <a16:creationId xmlns:a16="http://schemas.microsoft.com/office/drawing/2014/main" id="{00000000-0008-0000-0000-00007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117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2276475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8</xdr:row>
          <xdr:rowOff>38100</xdr:rowOff>
        </xdr:from>
        <xdr:to>
          <xdr:col>88</xdr:col>
          <xdr:colOff>266700</xdr:colOff>
          <xdr:row>183</xdr:row>
          <xdr:rowOff>152400</xdr:rowOff>
        </xdr:to>
        <xdr:sp macro="" textlink="">
          <xdr:nvSpPr>
            <xdr:cNvPr id="3091" name="Drop Dow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-18364200</xdr:colOff>
          <xdr:row>1</xdr:row>
          <xdr:rowOff>0</xdr:rowOff>
        </xdr:from>
        <xdr:to>
          <xdr:col>0</xdr:col>
          <xdr:colOff>-95250</xdr:colOff>
          <xdr:row>2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304800</xdr:colOff>
          <xdr:row>0</xdr:row>
          <xdr:rowOff>-9391650</xdr:rowOff>
        </xdr:from>
        <xdr:to>
          <xdr:col>15</xdr:col>
          <xdr:colOff>304800</xdr:colOff>
          <xdr:row>0</xdr:row>
          <xdr:rowOff>-8753475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Connection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-6791325</xdr:colOff>
          <xdr:row>2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485775</xdr:colOff>
          <xdr:row>3</xdr:row>
          <xdr:rowOff>114300</xdr:rowOff>
        </xdr:from>
        <xdr:to>
          <xdr:col>15</xdr:col>
          <xdr:colOff>19050</xdr:colOff>
          <xdr:row>6</xdr:row>
          <xdr:rowOff>142875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4</xdr:row>
          <xdr:rowOff>9753600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4</xdr:col>
          <xdr:colOff>7934325</xdr:colOff>
          <xdr:row>7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304800</xdr:rowOff>
        </xdr:from>
        <xdr:to>
          <xdr:col>1</xdr:col>
          <xdr:colOff>0</xdr:colOff>
          <xdr:row>4</xdr:row>
          <xdr:rowOff>161925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Stored Procedure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-43786425</xdr:colOff>
          <xdr:row>0</xdr:row>
          <xdr:rowOff>0</xdr:rowOff>
        </xdr:from>
        <xdr:to>
          <xdr:col>8</xdr:col>
          <xdr:colOff>20431125</xdr:colOff>
          <xdr:row>0</xdr:row>
          <xdr:rowOff>0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2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7305675</xdr:colOff>
          <xdr:row>0</xdr:row>
          <xdr:rowOff>1828800</xdr:rowOff>
        </xdr:from>
        <xdr:to>
          <xdr:col>7</xdr:col>
          <xdr:colOff>7981950</xdr:colOff>
          <xdr:row>1</xdr:row>
          <xdr:rowOff>1828800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2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investonesupport.com/" TargetMode="Externa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rgb="FF92D050"/>
  </sheetPr>
  <dimension ref="A1:AE989"/>
  <sheetViews>
    <sheetView tabSelected="1" zoomScaleNormal="100" workbookViewId="0">
      <selection activeCell="C5" sqref="C5"/>
    </sheetView>
  </sheetViews>
  <sheetFormatPr defaultColWidth="9" defaultRowHeight="12.75" x14ac:dyDescent="0.2"/>
  <cols>
    <col min="1" max="1" width="10.85546875" style="42" bestFit="1" customWidth="1"/>
    <col min="2" max="2" width="14" style="42" bestFit="1" customWidth="1"/>
    <col min="3" max="3" width="10" style="42" bestFit="1" customWidth="1"/>
    <col min="4" max="4" width="6.85546875" style="42" bestFit="1" customWidth="1"/>
    <col min="5" max="5" width="25.85546875" style="42" bestFit="1" customWidth="1"/>
    <col min="6" max="6" width="22" style="42" bestFit="1" customWidth="1"/>
    <col min="7" max="7" width="15" style="42" bestFit="1" customWidth="1"/>
    <col min="8" max="8" width="56.85546875" style="42" bestFit="1" customWidth="1"/>
    <col min="9" max="10" width="16" style="50" customWidth="1"/>
    <col min="11" max="11" width="9.85546875" style="50" customWidth="1"/>
    <col min="12" max="12" width="11.85546875" style="42" customWidth="1"/>
    <col min="13" max="13" width="20.85546875" style="42" customWidth="1"/>
    <col min="14" max="14" width="18" style="42" customWidth="1"/>
    <col min="15" max="15" width="20.85546875" style="42" customWidth="1"/>
    <col min="16" max="16" width="7.85546875" style="42" customWidth="1"/>
    <col min="17" max="17" width="36" style="42" customWidth="1"/>
    <col min="18" max="18" width="20" style="42" customWidth="1"/>
    <col min="19" max="19" width="16" style="42" customWidth="1"/>
    <col min="20" max="20" width="6" style="42" customWidth="1"/>
    <col min="21" max="21" width="22" style="42" customWidth="1"/>
    <col min="22" max="22" width="15.85546875" style="42" customWidth="1"/>
    <col min="23" max="23" width="26" style="42" customWidth="1"/>
    <col min="24" max="24" width="11" style="42" customWidth="1"/>
    <col min="25" max="25" width="34.85546875" style="57" customWidth="1"/>
    <col min="26" max="26" width="12" style="57" customWidth="1"/>
    <col min="27" max="27" width="9" style="57" customWidth="1"/>
    <col min="28" max="28" width="12" style="57" customWidth="1"/>
    <col min="29" max="29" width="10" style="57" customWidth="1"/>
    <col min="30" max="30" width="12" style="57" customWidth="1"/>
    <col min="31" max="31" width="13.85546875" style="57" customWidth="1"/>
    <col min="32" max="40" width="9" style="42"/>
    <col min="41" max="41" width="18.7109375" style="42" bestFit="1" customWidth="1"/>
    <col min="42" max="16384" width="9" style="42"/>
  </cols>
  <sheetData>
    <row r="1" spans="1:31" ht="25.5" customHeight="1" x14ac:dyDescent="0.2">
      <c r="A1" s="42" t="s">
        <v>26</v>
      </c>
      <c r="B1" s="42" t="s">
        <v>27</v>
      </c>
      <c r="C1" s="56" t="s">
        <v>28</v>
      </c>
      <c r="D1" s="42" t="s">
        <v>29</v>
      </c>
      <c r="E1" s="42" t="s">
        <v>30</v>
      </c>
      <c r="F1" s="42" t="s">
        <v>87</v>
      </c>
      <c r="H1" s="42" t="b">
        <v>1</v>
      </c>
    </row>
    <row r="3" spans="1:31" x14ac:dyDescent="0.2">
      <c r="A3" s="42" t="s">
        <v>88</v>
      </c>
      <c r="B3" s="42" t="s">
        <v>180</v>
      </c>
      <c r="C3" s="42" t="s">
        <v>32</v>
      </c>
      <c r="D3" s="42" t="s">
        <v>31</v>
      </c>
      <c r="E3" s="42" t="s">
        <v>89</v>
      </c>
      <c r="F3" s="42" t="s">
        <v>33</v>
      </c>
      <c r="G3" s="42" t="s">
        <v>187</v>
      </c>
      <c r="H3" s="42" t="s">
        <v>90</v>
      </c>
      <c r="I3" s="42" t="s">
        <v>91</v>
      </c>
      <c r="J3" s="42" t="s">
        <v>92</v>
      </c>
      <c r="K3" s="42" t="s">
        <v>93</v>
      </c>
      <c r="L3" s="42" t="s">
        <v>94</v>
      </c>
      <c r="M3" s="42" t="s">
        <v>95</v>
      </c>
      <c r="N3" s="42" t="s">
        <v>96</v>
      </c>
      <c r="O3" s="42" t="s">
        <v>97</v>
      </c>
      <c r="P3" s="42" t="s">
        <v>98</v>
      </c>
      <c r="Q3" s="42" t="s">
        <v>99</v>
      </c>
      <c r="R3" s="42" t="s">
        <v>100</v>
      </c>
      <c r="S3" s="42" t="s">
        <v>101</v>
      </c>
      <c r="T3" s="42" t="s">
        <v>102</v>
      </c>
      <c r="U3" s="42" t="s">
        <v>103</v>
      </c>
      <c r="V3" s="42" t="s">
        <v>104</v>
      </c>
      <c r="W3" s="42" t="s">
        <v>105</v>
      </c>
      <c r="X3" s="42" t="s">
        <v>106</v>
      </c>
      <c r="Y3" s="42" t="s">
        <v>107</v>
      </c>
      <c r="Z3" s="42" t="s">
        <v>190</v>
      </c>
      <c r="AA3" s="42" t="s">
        <v>191</v>
      </c>
      <c r="AB3" s="42" t="s">
        <v>189</v>
      </c>
      <c r="AC3" s="42" t="s">
        <v>188</v>
      </c>
      <c r="AD3" s="42" t="s">
        <v>192</v>
      </c>
      <c r="AE3" s="42" t="s">
        <v>193</v>
      </c>
    </row>
    <row r="4" spans="1:31" x14ac:dyDescent="0.2">
      <c r="A4" s="42" t="s">
        <v>917</v>
      </c>
      <c r="B4" s="42">
        <v>1</v>
      </c>
      <c r="C4" s="42" t="s">
        <v>47</v>
      </c>
      <c r="D4" s="42">
        <v>1</v>
      </c>
      <c r="E4" s="42" t="s">
        <v>399</v>
      </c>
      <c r="F4" s="42" t="s">
        <v>483</v>
      </c>
      <c r="G4" s="42">
        <v>2532</v>
      </c>
      <c r="H4" s="42" t="s">
        <v>484</v>
      </c>
      <c r="I4" s="42">
        <v>7661958.3700000001</v>
      </c>
      <c r="J4" s="42">
        <v>7661958.3700000001</v>
      </c>
      <c r="K4" s="42" t="b">
        <v>0</v>
      </c>
      <c r="L4" s="42">
        <v>5</v>
      </c>
      <c r="M4" s="42" t="s">
        <v>108</v>
      </c>
      <c r="N4" s="42">
        <v>2</v>
      </c>
      <c r="O4" s="42" t="s">
        <v>122</v>
      </c>
      <c r="P4" s="42">
        <v>2</v>
      </c>
      <c r="Q4" s="42" t="s">
        <v>322</v>
      </c>
      <c r="R4" s="42" t="s">
        <v>114</v>
      </c>
      <c r="U4" s="42" t="s">
        <v>121</v>
      </c>
      <c r="V4" s="42">
        <v>1</v>
      </c>
      <c r="W4" s="42" t="s">
        <v>116</v>
      </c>
      <c r="X4" s="42">
        <v>18</v>
      </c>
      <c r="Y4" s="42" t="s">
        <v>117</v>
      </c>
      <c r="Z4" s="42">
        <v>24472.337100000001</v>
      </c>
      <c r="AA4" s="42">
        <v>313.0865</v>
      </c>
      <c r="AB4" s="42" t="s">
        <v>36</v>
      </c>
      <c r="AC4" s="42">
        <v>1</v>
      </c>
      <c r="AD4" s="42">
        <v>1</v>
      </c>
      <c r="AE4" s="42">
        <v>7661958.3700000001</v>
      </c>
    </row>
    <row r="5" spans="1:31" x14ac:dyDescent="0.2">
      <c r="A5" s="42" t="s">
        <v>917</v>
      </c>
      <c r="B5" s="42">
        <v>1</v>
      </c>
      <c r="C5" s="42" t="s">
        <v>47</v>
      </c>
      <c r="D5" s="42">
        <v>1</v>
      </c>
      <c r="E5" s="42" t="s">
        <v>399</v>
      </c>
      <c r="F5" s="42" t="s">
        <v>485</v>
      </c>
      <c r="G5" s="42">
        <v>2599</v>
      </c>
      <c r="H5" s="42" t="s">
        <v>486</v>
      </c>
      <c r="I5" s="42">
        <v>7802827.5</v>
      </c>
      <c r="J5" s="42">
        <v>7802827.5</v>
      </c>
      <c r="K5" s="42" t="b">
        <v>0</v>
      </c>
      <c r="L5" s="42">
        <v>5</v>
      </c>
      <c r="M5" s="42" t="s">
        <v>108</v>
      </c>
      <c r="N5" s="42">
        <v>2</v>
      </c>
      <c r="O5" s="42" t="s">
        <v>122</v>
      </c>
      <c r="P5" s="42">
        <v>2</v>
      </c>
      <c r="Q5" s="42" t="s">
        <v>322</v>
      </c>
      <c r="R5" s="42" t="s">
        <v>114</v>
      </c>
      <c r="U5" s="42" t="s">
        <v>121</v>
      </c>
      <c r="V5" s="42">
        <v>1</v>
      </c>
      <c r="W5" s="42" t="s">
        <v>116</v>
      </c>
      <c r="X5" s="42">
        <v>18</v>
      </c>
      <c r="Y5" s="42" t="s">
        <v>117</v>
      </c>
      <c r="Z5" s="42">
        <v>5348432.0350000001</v>
      </c>
      <c r="AA5" s="42">
        <v>1.4589000000000001</v>
      </c>
      <c r="AB5" s="42" t="s">
        <v>36</v>
      </c>
      <c r="AC5" s="42">
        <v>1</v>
      </c>
      <c r="AD5" s="42">
        <v>1</v>
      </c>
      <c r="AE5" s="42">
        <v>7802827.5</v>
      </c>
    </row>
    <row r="6" spans="1:31" x14ac:dyDescent="0.2">
      <c r="A6" s="42" t="s">
        <v>917</v>
      </c>
      <c r="B6" s="42">
        <v>1</v>
      </c>
      <c r="C6" s="42" t="s">
        <v>47</v>
      </c>
      <c r="D6" s="42">
        <v>1</v>
      </c>
      <c r="E6" s="42" t="s">
        <v>399</v>
      </c>
      <c r="F6" s="42" t="s">
        <v>487</v>
      </c>
      <c r="G6" s="42">
        <v>2625</v>
      </c>
      <c r="H6" s="42" t="s">
        <v>488</v>
      </c>
      <c r="I6" s="42">
        <v>7889632.1600000001</v>
      </c>
      <c r="J6" s="42">
        <v>7889632.1600000001</v>
      </c>
      <c r="K6" s="42" t="b">
        <v>0</v>
      </c>
      <c r="L6" s="42">
        <v>5</v>
      </c>
      <c r="M6" s="42" t="s">
        <v>108</v>
      </c>
      <c r="N6" s="42">
        <v>2</v>
      </c>
      <c r="O6" s="42" t="s">
        <v>122</v>
      </c>
      <c r="P6" s="42">
        <v>2</v>
      </c>
      <c r="Q6" s="42" t="s">
        <v>322</v>
      </c>
      <c r="R6" s="42" t="s">
        <v>114</v>
      </c>
      <c r="U6" s="42" t="s">
        <v>121</v>
      </c>
      <c r="V6" s="42">
        <v>1</v>
      </c>
      <c r="W6" s="42" t="s">
        <v>116</v>
      </c>
      <c r="X6" s="42">
        <v>18</v>
      </c>
      <c r="Y6" s="42" t="s">
        <v>117</v>
      </c>
      <c r="Z6" s="42">
        <v>1361596.051</v>
      </c>
      <c r="AA6" s="42">
        <v>5.7944000000000004</v>
      </c>
      <c r="AB6" s="42" t="s">
        <v>36</v>
      </c>
      <c r="AC6" s="42">
        <v>1</v>
      </c>
      <c r="AD6" s="42">
        <v>1</v>
      </c>
      <c r="AE6" s="42">
        <v>7889632.1600000001</v>
      </c>
    </row>
    <row r="7" spans="1:31" x14ac:dyDescent="0.2">
      <c r="A7" s="42" t="s">
        <v>917</v>
      </c>
      <c r="B7" s="42">
        <v>1</v>
      </c>
      <c r="C7" s="42" t="s">
        <v>47</v>
      </c>
      <c r="D7" s="42">
        <v>1</v>
      </c>
      <c r="E7" s="42" t="s">
        <v>399</v>
      </c>
      <c r="F7" s="42" t="s">
        <v>134</v>
      </c>
      <c r="G7" s="42">
        <v>2865</v>
      </c>
      <c r="H7" s="42" t="s">
        <v>135</v>
      </c>
      <c r="I7" s="42">
        <v>8077127.3600000003</v>
      </c>
      <c r="J7" s="42">
        <v>8077127.3600000003</v>
      </c>
      <c r="K7" s="42" t="b">
        <v>0</v>
      </c>
      <c r="L7" s="42">
        <v>4</v>
      </c>
      <c r="M7" s="42" t="s">
        <v>128</v>
      </c>
      <c r="N7" s="42">
        <v>1</v>
      </c>
      <c r="O7" s="42" t="s">
        <v>112</v>
      </c>
      <c r="P7" s="42">
        <v>14</v>
      </c>
      <c r="Q7" s="42" t="s">
        <v>323</v>
      </c>
      <c r="R7" s="42" t="s">
        <v>114</v>
      </c>
      <c r="U7" s="42" t="s">
        <v>121</v>
      </c>
      <c r="V7" s="42">
        <v>1</v>
      </c>
      <c r="W7" s="42" t="s">
        <v>116</v>
      </c>
      <c r="X7" s="42">
        <v>18</v>
      </c>
      <c r="Y7" s="42" t="s">
        <v>117</v>
      </c>
      <c r="Z7" s="42">
        <v>14265502.232999999</v>
      </c>
      <c r="AA7" s="42">
        <v>0.56620000000000004</v>
      </c>
      <c r="AB7" s="42" t="s">
        <v>36</v>
      </c>
      <c r="AC7" s="42">
        <v>1</v>
      </c>
      <c r="AD7" s="42">
        <v>1</v>
      </c>
      <c r="AE7" s="42">
        <v>8077127.3600000003</v>
      </c>
    </row>
    <row r="8" spans="1:31" x14ac:dyDescent="0.2">
      <c r="A8" s="42" t="s">
        <v>917</v>
      </c>
      <c r="B8" s="42">
        <v>1</v>
      </c>
      <c r="C8" s="42" t="s">
        <v>47</v>
      </c>
      <c r="D8" s="42">
        <v>1</v>
      </c>
      <c r="E8" s="42" t="s">
        <v>399</v>
      </c>
      <c r="F8" s="42" t="s">
        <v>489</v>
      </c>
      <c r="G8" s="42">
        <v>3076</v>
      </c>
      <c r="H8" s="42" t="s">
        <v>490</v>
      </c>
      <c r="I8" s="42">
        <v>8699930.8000000007</v>
      </c>
      <c r="J8" s="42">
        <v>8724766.0700000003</v>
      </c>
      <c r="K8" s="42" t="b">
        <v>0</v>
      </c>
      <c r="L8" s="42">
        <v>4</v>
      </c>
      <c r="M8" s="42" t="s">
        <v>128</v>
      </c>
      <c r="N8" s="42">
        <v>1</v>
      </c>
      <c r="O8" s="42" t="s">
        <v>112</v>
      </c>
      <c r="P8" s="42">
        <v>14</v>
      </c>
      <c r="Q8" s="42" t="s">
        <v>323</v>
      </c>
      <c r="R8" s="42" t="s">
        <v>114</v>
      </c>
      <c r="U8" s="42" t="s">
        <v>121</v>
      </c>
      <c r="V8" s="42">
        <v>1</v>
      </c>
      <c r="W8" s="42" t="s">
        <v>116</v>
      </c>
      <c r="X8" s="42">
        <v>18</v>
      </c>
      <c r="Y8" s="42" t="s">
        <v>117</v>
      </c>
      <c r="Z8" s="42">
        <v>6898684.3260000004</v>
      </c>
      <c r="AA8" s="42">
        <v>1.2646999999999999</v>
      </c>
      <c r="AB8" s="42" t="s">
        <v>36</v>
      </c>
      <c r="AC8" s="42">
        <v>1</v>
      </c>
      <c r="AD8" s="42">
        <v>1</v>
      </c>
      <c r="AE8" s="42">
        <v>8724766.0700000003</v>
      </c>
    </row>
    <row r="9" spans="1:31" x14ac:dyDescent="0.2">
      <c r="A9" s="42" t="s">
        <v>917</v>
      </c>
      <c r="B9" s="42">
        <v>1</v>
      </c>
      <c r="C9" s="42" t="s">
        <v>47</v>
      </c>
      <c r="D9" s="42">
        <v>1</v>
      </c>
      <c r="E9" s="42" t="s">
        <v>399</v>
      </c>
      <c r="F9" s="42" t="s">
        <v>152</v>
      </c>
      <c r="G9" s="42">
        <v>3159</v>
      </c>
      <c r="H9" s="42" t="s">
        <v>153</v>
      </c>
      <c r="I9" s="42">
        <v>7394090.5499999998</v>
      </c>
      <c r="J9" s="42">
        <v>7394090.5499999998</v>
      </c>
      <c r="K9" s="42" t="b">
        <v>0</v>
      </c>
      <c r="L9" s="42">
        <v>5</v>
      </c>
      <c r="M9" s="42" t="s">
        <v>108</v>
      </c>
      <c r="N9" s="42">
        <v>28</v>
      </c>
      <c r="O9" s="42" t="s">
        <v>120</v>
      </c>
      <c r="P9" s="42">
        <v>9</v>
      </c>
      <c r="Q9" s="42" t="s">
        <v>320</v>
      </c>
      <c r="R9" s="42" t="s">
        <v>114</v>
      </c>
      <c r="U9" s="42" t="s">
        <v>121</v>
      </c>
      <c r="V9" s="42">
        <v>1</v>
      </c>
      <c r="W9" s="42" t="s">
        <v>116</v>
      </c>
      <c r="X9" s="42">
        <v>18</v>
      </c>
      <c r="Y9" s="42" t="s">
        <v>117</v>
      </c>
      <c r="Z9" s="42">
        <v>7001979.6900000004</v>
      </c>
      <c r="AA9" s="42">
        <v>1.056</v>
      </c>
      <c r="AB9" s="42" t="s">
        <v>36</v>
      </c>
      <c r="AC9" s="42">
        <v>1</v>
      </c>
      <c r="AD9" s="42">
        <v>1</v>
      </c>
      <c r="AE9" s="42">
        <v>7394090.5499999998</v>
      </c>
    </row>
    <row r="10" spans="1:31" x14ac:dyDescent="0.2">
      <c r="A10" s="42" t="s">
        <v>917</v>
      </c>
      <c r="B10" s="42">
        <v>1</v>
      </c>
      <c r="C10" s="42" t="s">
        <v>47</v>
      </c>
      <c r="D10" s="42">
        <v>1</v>
      </c>
      <c r="E10" s="42" t="s">
        <v>399</v>
      </c>
      <c r="F10" s="42" t="s">
        <v>156</v>
      </c>
      <c r="G10" s="42">
        <v>3988</v>
      </c>
      <c r="H10" s="42" t="s">
        <v>157</v>
      </c>
      <c r="I10" s="42">
        <v>6688732.4000000004</v>
      </c>
      <c r="J10" s="42">
        <v>6688732.4000000004</v>
      </c>
      <c r="K10" s="42" t="b">
        <v>0</v>
      </c>
      <c r="L10" s="42">
        <v>4</v>
      </c>
      <c r="M10" s="42" t="s">
        <v>128</v>
      </c>
      <c r="N10" s="42">
        <v>1</v>
      </c>
      <c r="O10" s="42" t="s">
        <v>112</v>
      </c>
      <c r="P10" s="42">
        <v>250</v>
      </c>
      <c r="Q10" s="42" t="s">
        <v>334</v>
      </c>
      <c r="R10" s="42" t="s">
        <v>114</v>
      </c>
      <c r="U10" s="42" t="s">
        <v>121</v>
      </c>
      <c r="V10" s="42">
        <v>1</v>
      </c>
      <c r="W10" s="42" t="s">
        <v>116</v>
      </c>
      <c r="X10" s="42">
        <v>18</v>
      </c>
      <c r="Y10" s="42" t="s">
        <v>117</v>
      </c>
      <c r="Z10" s="42">
        <v>5473594.4375999998</v>
      </c>
      <c r="AA10" s="42">
        <v>1.222</v>
      </c>
      <c r="AB10" s="42" t="s">
        <v>36</v>
      </c>
      <c r="AC10" s="42">
        <v>1</v>
      </c>
      <c r="AD10" s="42">
        <v>1</v>
      </c>
      <c r="AE10" s="42">
        <v>6688732.4000000004</v>
      </c>
    </row>
    <row r="11" spans="1:31" x14ac:dyDescent="0.2">
      <c r="A11" s="42" t="s">
        <v>917</v>
      </c>
      <c r="B11" s="42">
        <v>1</v>
      </c>
      <c r="C11" s="42" t="s">
        <v>47</v>
      </c>
      <c r="D11" s="42">
        <v>1</v>
      </c>
      <c r="E11" s="42" t="s">
        <v>399</v>
      </c>
      <c r="F11" s="42" t="s">
        <v>160</v>
      </c>
      <c r="G11" s="42">
        <v>4100</v>
      </c>
      <c r="H11" s="42" t="s">
        <v>161</v>
      </c>
      <c r="I11" s="42">
        <v>7493786.1699999999</v>
      </c>
      <c r="J11" s="42">
        <v>7493786.1699999999</v>
      </c>
      <c r="K11" s="42" t="b">
        <v>0</v>
      </c>
      <c r="L11" s="42">
        <v>5</v>
      </c>
      <c r="M11" s="42" t="s">
        <v>108</v>
      </c>
      <c r="N11" s="42">
        <v>2</v>
      </c>
      <c r="O11" s="42" t="s">
        <v>122</v>
      </c>
      <c r="P11" s="42">
        <v>2</v>
      </c>
      <c r="Q11" s="42" t="s">
        <v>322</v>
      </c>
      <c r="R11" s="42" t="s">
        <v>114</v>
      </c>
      <c r="U11" s="42" t="s">
        <v>121</v>
      </c>
      <c r="V11" s="42">
        <v>1</v>
      </c>
      <c r="W11" s="42" t="s">
        <v>116</v>
      </c>
      <c r="X11" s="42">
        <v>18</v>
      </c>
      <c r="Y11" s="42" t="s">
        <v>117</v>
      </c>
      <c r="Z11" s="42">
        <v>2907949.6189999999</v>
      </c>
      <c r="AA11" s="42">
        <v>2.577</v>
      </c>
      <c r="AB11" s="42" t="s">
        <v>36</v>
      </c>
      <c r="AC11" s="42">
        <v>1</v>
      </c>
      <c r="AD11" s="42">
        <v>1</v>
      </c>
      <c r="AE11" s="42">
        <v>7493786.1699999999</v>
      </c>
    </row>
    <row r="12" spans="1:31" x14ac:dyDescent="0.2">
      <c r="A12" s="42" t="s">
        <v>917</v>
      </c>
      <c r="B12" s="42">
        <v>1</v>
      </c>
      <c r="C12" s="42" t="s">
        <v>47</v>
      </c>
      <c r="D12" s="42">
        <v>1</v>
      </c>
      <c r="E12" s="42" t="s">
        <v>399</v>
      </c>
      <c r="F12" s="42" t="s">
        <v>162</v>
      </c>
      <c r="G12" s="42">
        <v>6057</v>
      </c>
      <c r="H12" s="42" t="s">
        <v>163</v>
      </c>
      <c r="I12" s="42">
        <v>8019103.6600000001</v>
      </c>
      <c r="J12" s="42">
        <v>8019103.6600000001</v>
      </c>
      <c r="K12" s="42" t="b">
        <v>0</v>
      </c>
      <c r="L12" s="42">
        <v>4</v>
      </c>
      <c r="M12" s="42" t="s">
        <v>128</v>
      </c>
      <c r="N12" s="42">
        <v>1</v>
      </c>
      <c r="O12" s="42" t="s">
        <v>112</v>
      </c>
      <c r="P12" s="42">
        <v>14</v>
      </c>
      <c r="Q12" s="42" t="s">
        <v>323</v>
      </c>
      <c r="R12" s="42" t="s">
        <v>114</v>
      </c>
      <c r="U12" s="42" t="s">
        <v>121</v>
      </c>
      <c r="V12" s="42">
        <v>1</v>
      </c>
      <c r="W12" s="42" t="s">
        <v>116</v>
      </c>
      <c r="X12" s="42">
        <v>18</v>
      </c>
      <c r="Y12" s="42" t="s">
        <v>117</v>
      </c>
      <c r="Z12" s="42">
        <v>750543.19</v>
      </c>
      <c r="AA12" s="42">
        <v>10.6844</v>
      </c>
      <c r="AB12" s="42" t="s">
        <v>36</v>
      </c>
      <c r="AC12" s="42">
        <v>1</v>
      </c>
      <c r="AD12" s="42">
        <v>1</v>
      </c>
      <c r="AE12" s="42">
        <v>8019103.6600000001</v>
      </c>
    </row>
    <row r="13" spans="1:31" x14ac:dyDescent="0.2">
      <c r="A13" s="42" t="s">
        <v>917</v>
      </c>
      <c r="B13" s="42">
        <v>1</v>
      </c>
      <c r="C13" s="42" t="s">
        <v>47</v>
      </c>
      <c r="D13" s="42">
        <v>1</v>
      </c>
      <c r="E13" s="42" t="s">
        <v>399</v>
      </c>
      <c r="F13" s="42" t="s">
        <v>491</v>
      </c>
      <c r="G13" s="42">
        <v>6675</v>
      </c>
      <c r="H13" s="42" t="s">
        <v>492</v>
      </c>
      <c r="I13" s="42">
        <v>7715138.9400000004</v>
      </c>
      <c r="J13" s="42">
        <v>7715138.9400000004</v>
      </c>
      <c r="K13" s="42" t="b">
        <v>0</v>
      </c>
      <c r="L13" s="42">
        <v>5</v>
      </c>
      <c r="M13" s="42" t="s">
        <v>108</v>
      </c>
      <c r="N13" s="42">
        <v>2</v>
      </c>
      <c r="O13" s="42" t="s">
        <v>122</v>
      </c>
      <c r="P13" s="42">
        <v>2</v>
      </c>
      <c r="Q13" s="42" t="s">
        <v>322</v>
      </c>
      <c r="R13" s="42" t="s">
        <v>114</v>
      </c>
      <c r="U13" s="42" t="s">
        <v>121</v>
      </c>
      <c r="V13" s="42">
        <v>1</v>
      </c>
      <c r="W13" s="42" t="s">
        <v>116</v>
      </c>
      <c r="X13" s="42">
        <v>18</v>
      </c>
      <c r="Y13" s="42" t="s">
        <v>117</v>
      </c>
      <c r="Z13" s="42">
        <v>4863913.0882000001</v>
      </c>
      <c r="AA13" s="42">
        <v>1.5862000000000001</v>
      </c>
      <c r="AB13" s="42" t="s">
        <v>36</v>
      </c>
      <c r="AC13" s="42">
        <v>1</v>
      </c>
      <c r="AD13" s="42">
        <v>1</v>
      </c>
      <c r="AE13" s="42">
        <v>7715138.9400000004</v>
      </c>
    </row>
    <row r="14" spans="1:31" x14ac:dyDescent="0.2">
      <c r="A14" s="42" t="s">
        <v>917</v>
      </c>
      <c r="B14" s="42">
        <v>1</v>
      </c>
      <c r="C14" s="42" t="s">
        <v>47</v>
      </c>
      <c r="D14" s="42">
        <v>1</v>
      </c>
      <c r="E14" s="42" t="s">
        <v>399</v>
      </c>
      <c r="F14" s="42" t="s">
        <v>493</v>
      </c>
      <c r="G14" s="42">
        <v>8405</v>
      </c>
      <c r="H14" s="42" t="s">
        <v>494</v>
      </c>
      <c r="I14" s="42">
        <v>7821791.6100000003</v>
      </c>
      <c r="J14" s="42">
        <v>7821791.6100000003</v>
      </c>
      <c r="K14" s="42" t="b">
        <v>0</v>
      </c>
      <c r="L14" s="42">
        <v>5</v>
      </c>
      <c r="M14" s="42" t="s">
        <v>108</v>
      </c>
      <c r="N14" s="42">
        <v>2</v>
      </c>
      <c r="O14" s="42" t="s">
        <v>122</v>
      </c>
      <c r="P14" s="42">
        <v>2</v>
      </c>
      <c r="Q14" s="42" t="s">
        <v>322</v>
      </c>
      <c r="R14" s="42" t="s">
        <v>114</v>
      </c>
      <c r="U14" s="42" t="s">
        <v>121</v>
      </c>
      <c r="V14" s="42">
        <v>1</v>
      </c>
      <c r="W14" s="42" t="s">
        <v>116</v>
      </c>
      <c r="X14" s="42">
        <v>18</v>
      </c>
      <c r="Y14" s="42" t="s">
        <v>117</v>
      </c>
      <c r="Z14" s="42">
        <v>618611.97</v>
      </c>
      <c r="AA14" s="42">
        <v>12.6441</v>
      </c>
      <c r="AB14" s="42" t="s">
        <v>36</v>
      </c>
      <c r="AC14" s="42">
        <v>1</v>
      </c>
      <c r="AD14" s="42">
        <v>1</v>
      </c>
      <c r="AE14" s="42">
        <v>7821791.6100000003</v>
      </c>
    </row>
    <row r="15" spans="1:31" x14ac:dyDescent="0.2">
      <c r="A15" s="42" t="s">
        <v>917</v>
      </c>
      <c r="B15" s="42">
        <v>1</v>
      </c>
      <c r="C15" s="42" t="s">
        <v>47</v>
      </c>
      <c r="D15" s="42">
        <v>1</v>
      </c>
      <c r="E15" s="42" t="s">
        <v>399</v>
      </c>
      <c r="F15" s="42" t="s">
        <v>283</v>
      </c>
      <c r="G15" s="42">
        <v>9237</v>
      </c>
      <c r="H15" s="42" t="s">
        <v>284</v>
      </c>
      <c r="I15" s="42">
        <v>5254009.8099999996</v>
      </c>
      <c r="J15" s="42">
        <v>5254009.8099999996</v>
      </c>
      <c r="K15" s="42" t="b">
        <v>0</v>
      </c>
      <c r="L15" s="42">
        <v>4</v>
      </c>
      <c r="M15" s="42" t="s">
        <v>128</v>
      </c>
      <c r="N15" s="42">
        <v>2</v>
      </c>
      <c r="O15" s="42" t="s">
        <v>122</v>
      </c>
      <c r="P15" s="42">
        <v>14</v>
      </c>
      <c r="Q15" s="42" t="s">
        <v>323</v>
      </c>
      <c r="R15" s="42" t="s">
        <v>114</v>
      </c>
      <c r="U15" s="42" t="s">
        <v>121</v>
      </c>
      <c r="V15" s="42">
        <v>1</v>
      </c>
      <c r="W15" s="42" t="s">
        <v>116</v>
      </c>
      <c r="X15" s="42">
        <v>18</v>
      </c>
      <c r="Y15" s="42" t="s">
        <v>117</v>
      </c>
      <c r="Z15" s="42">
        <v>5645830.4413999999</v>
      </c>
      <c r="AA15" s="42">
        <v>0.93059999999999998</v>
      </c>
      <c r="AB15" s="42" t="s">
        <v>36</v>
      </c>
      <c r="AC15" s="42">
        <v>1</v>
      </c>
      <c r="AD15" s="42">
        <v>1</v>
      </c>
      <c r="AE15" s="42">
        <v>5254009.8099999996</v>
      </c>
    </row>
    <row r="16" spans="1:31" x14ac:dyDescent="0.2">
      <c r="A16" s="42" t="s">
        <v>917</v>
      </c>
      <c r="B16" s="42">
        <v>1</v>
      </c>
      <c r="C16" s="42" t="s">
        <v>47</v>
      </c>
      <c r="D16" s="42">
        <v>1</v>
      </c>
      <c r="E16" s="42" t="s">
        <v>399</v>
      </c>
      <c r="F16" s="42" t="s">
        <v>344</v>
      </c>
      <c r="G16" s="42">
        <v>10176</v>
      </c>
      <c r="H16" s="42" t="s">
        <v>345</v>
      </c>
      <c r="I16" s="42">
        <v>7582421.7199999997</v>
      </c>
      <c r="J16" s="42">
        <v>7582421.7199999997</v>
      </c>
      <c r="K16" s="42" t="b">
        <v>0</v>
      </c>
      <c r="L16" s="42">
        <v>5</v>
      </c>
      <c r="M16" s="42" t="s">
        <v>108</v>
      </c>
      <c r="N16" s="42">
        <v>2</v>
      </c>
      <c r="O16" s="42" t="s">
        <v>122</v>
      </c>
      <c r="P16" s="42">
        <v>2</v>
      </c>
      <c r="Q16" s="42" t="s">
        <v>322</v>
      </c>
      <c r="R16" s="42" t="s">
        <v>114</v>
      </c>
      <c r="U16" s="42" t="s">
        <v>121</v>
      </c>
      <c r="V16" s="42">
        <v>1</v>
      </c>
      <c r="W16" s="42" t="s">
        <v>116</v>
      </c>
      <c r="X16" s="42">
        <v>18</v>
      </c>
      <c r="Y16" s="42" t="s">
        <v>117</v>
      </c>
      <c r="Z16" s="42">
        <v>6595130.6600000001</v>
      </c>
      <c r="AA16" s="42">
        <v>1.1496999999999999</v>
      </c>
      <c r="AB16" s="42" t="s">
        <v>36</v>
      </c>
      <c r="AC16" s="42">
        <v>1</v>
      </c>
      <c r="AD16" s="42">
        <v>1</v>
      </c>
      <c r="AE16" s="42">
        <v>7582421.7199999997</v>
      </c>
    </row>
    <row r="17" spans="1:31" x14ac:dyDescent="0.2">
      <c r="A17" s="42" t="s">
        <v>917</v>
      </c>
      <c r="B17" s="42">
        <v>1</v>
      </c>
      <c r="C17" s="42" t="s">
        <v>47</v>
      </c>
      <c r="D17" s="42">
        <v>1</v>
      </c>
      <c r="E17" s="42" t="s">
        <v>399</v>
      </c>
      <c r="F17" s="42" t="s">
        <v>332</v>
      </c>
      <c r="G17" s="42">
        <v>10273</v>
      </c>
      <c r="H17" s="42" t="s">
        <v>333</v>
      </c>
      <c r="I17" s="42">
        <v>7912760.6699999999</v>
      </c>
      <c r="J17" s="42">
        <v>7912760.6699999999</v>
      </c>
      <c r="K17" s="42" t="b">
        <v>0</v>
      </c>
      <c r="L17" s="42">
        <v>4</v>
      </c>
      <c r="M17" s="42" t="s">
        <v>128</v>
      </c>
      <c r="N17" s="42">
        <v>1</v>
      </c>
      <c r="O17" s="42" t="s">
        <v>112</v>
      </c>
      <c r="P17" s="42">
        <v>31</v>
      </c>
      <c r="Q17" s="42" t="s">
        <v>330</v>
      </c>
      <c r="R17" s="42" t="s">
        <v>114</v>
      </c>
      <c r="U17" s="42" t="s">
        <v>121</v>
      </c>
      <c r="V17" s="42">
        <v>1</v>
      </c>
      <c r="W17" s="42" t="s">
        <v>116</v>
      </c>
      <c r="X17" s="42">
        <v>18</v>
      </c>
      <c r="Y17" s="42" t="s">
        <v>117</v>
      </c>
      <c r="Z17" s="42">
        <v>7384061.8439999996</v>
      </c>
      <c r="AA17" s="42">
        <v>1.0716000000000001</v>
      </c>
      <c r="AB17" s="42" t="s">
        <v>36</v>
      </c>
      <c r="AC17" s="42">
        <v>1</v>
      </c>
      <c r="AD17" s="42">
        <v>1</v>
      </c>
      <c r="AE17" s="42">
        <v>7912760.6699999999</v>
      </c>
    </row>
    <row r="18" spans="1:31" x14ac:dyDescent="0.2">
      <c r="A18" s="42" t="s">
        <v>917</v>
      </c>
      <c r="B18" s="42">
        <v>1</v>
      </c>
      <c r="C18" s="42" t="s">
        <v>47</v>
      </c>
      <c r="D18" s="42">
        <v>1</v>
      </c>
      <c r="E18" s="42" t="s">
        <v>399</v>
      </c>
      <c r="F18" s="42" t="s">
        <v>370</v>
      </c>
      <c r="G18" s="42">
        <v>11037</v>
      </c>
      <c r="H18" s="42" t="s">
        <v>371</v>
      </c>
      <c r="I18" s="42">
        <v>2249019.9500000002</v>
      </c>
      <c r="J18" s="42">
        <v>2249726.27</v>
      </c>
      <c r="K18" s="42" t="b">
        <v>1</v>
      </c>
      <c r="L18" s="42">
        <v>4</v>
      </c>
      <c r="M18" s="42" t="s">
        <v>128</v>
      </c>
      <c r="N18" s="42">
        <v>2</v>
      </c>
      <c r="O18" s="42" t="s">
        <v>122</v>
      </c>
      <c r="P18" s="42">
        <v>72</v>
      </c>
      <c r="Q18" s="42" t="s">
        <v>245</v>
      </c>
      <c r="R18" s="42" t="s">
        <v>204</v>
      </c>
      <c r="S18" s="42">
        <v>1</v>
      </c>
      <c r="T18" s="42" t="s">
        <v>205</v>
      </c>
      <c r="U18" s="42" t="s">
        <v>121</v>
      </c>
      <c r="V18" s="42">
        <v>9</v>
      </c>
      <c r="W18" s="42" t="s">
        <v>206</v>
      </c>
      <c r="X18" s="42">
        <v>3</v>
      </c>
      <c r="Y18" s="42" t="s">
        <v>246</v>
      </c>
      <c r="Z18" s="42">
        <v>2315784</v>
      </c>
      <c r="AA18" s="42">
        <v>97.147499999999994</v>
      </c>
      <c r="AB18" s="42" t="s">
        <v>36</v>
      </c>
      <c r="AC18" s="42">
        <v>1</v>
      </c>
      <c r="AD18" s="42">
        <v>100</v>
      </c>
      <c r="AE18" s="42">
        <v>2249726.2599999998</v>
      </c>
    </row>
    <row r="19" spans="1:31" x14ac:dyDescent="0.2">
      <c r="A19" s="42" t="s">
        <v>917</v>
      </c>
      <c r="B19" s="42">
        <v>1</v>
      </c>
      <c r="C19" s="42" t="s">
        <v>48</v>
      </c>
      <c r="D19" s="42">
        <v>2</v>
      </c>
      <c r="E19" s="42" t="s">
        <v>400</v>
      </c>
      <c r="F19" s="42" t="s">
        <v>495</v>
      </c>
      <c r="G19" s="42">
        <v>2526</v>
      </c>
      <c r="H19" s="42" t="s">
        <v>496</v>
      </c>
      <c r="I19" s="42">
        <v>3425557.46</v>
      </c>
      <c r="J19" s="42">
        <v>3425557.46</v>
      </c>
      <c r="K19" s="42" t="b">
        <v>0</v>
      </c>
      <c r="L19" s="42">
        <v>5</v>
      </c>
      <c r="M19" s="42" t="s">
        <v>108</v>
      </c>
      <c r="N19" s="42">
        <v>29</v>
      </c>
      <c r="O19" s="42" t="s">
        <v>142</v>
      </c>
      <c r="P19" s="42">
        <v>3</v>
      </c>
      <c r="Q19" s="42" t="s">
        <v>325</v>
      </c>
      <c r="R19" s="42" t="s">
        <v>114</v>
      </c>
      <c r="U19" s="42" t="s">
        <v>121</v>
      </c>
      <c r="V19" s="42">
        <v>1</v>
      </c>
      <c r="W19" s="42" t="s">
        <v>116</v>
      </c>
      <c r="X19" s="42">
        <v>18</v>
      </c>
      <c r="Y19" s="42" t="s">
        <v>117</v>
      </c>
      <c r="Z19" s="42">
        <v>1359078.54</v>
      </c>
      <c r="AA19" s="42">
        <v>2.5205000000000002</v>
      </c>
      <c r="AB19" s="42" t="s">
        <v>36</v>
      </c>
      <c r="AC19" s="42">
        <v>1</v>
      </c>
      <c r="AD19" s="42">
        <v>1</v>
      </c>
      <c r="AE19" s="42">
        <v>3425557.46</v>
      </c>
    </row>
    <row r="20" spans="1:31" x14ac:dyDescent="0.2">
      <c r="A20" s="42" t="s">
        <v>917</v>
      </c>
      <c r="B20" s="42">
        <v>1</v>
      </c>
      <c r="C20" s="42" t="s">
        <v>48</v>
      </c>
      <c r="D20" s="42">
        <v>2</v>
      </c>
      <c r="E20" s="42" t="s">
        <v>400</v>
      </c>
      <c r="F20" s="42" t="s">
        <v>497</v>
      </c>
      <c r="G20" s="42">
        <v>2551</v>
      </c>
      <c r="H20" s="42" t="s">
        <v>498</v>
      </c>
      <c r="I20" s="42">
        <v>4448968.26</v>
      </c>
      <c r="J20" s="42">
        <v>4448968.26</v>
      </c>
      <c r="K20" s="42" t="b">
        <v>0</v>
      </c>
      <c r="L20" s="42">
        <v>5</v>
      </c>
      <c r="M20" s="42" t="s">
        <v>108</v>
      </c>
      <c r="N20" s="42">
        <v>2</v>
      </c>
      <c r="O20" s="42" t="s">
        <v>122</v>
      </c>
      <c r="P20" s="42">
        <v>1</v>
      </c>
      <c r="Q20" s="42" t="s">
        <v>326</v>
      </c>
      <c r="R20" s="42" t="s">
        <v>114</v>
      </c>
      <c r="U20" s="42" t="s">
        <v>121</v>
      </c>
      <c r="V20" s="42">
        <v>1</v>
      </c>
      <c r="W20" s="42" t="s">
        <v>116</v>
      </c>
      <c r="X20" s="42">
        <v>18</v>
      </c>
      <c r="Y20" s="42" t="s">
        <v>117</v>
      </c>
      <c r="Z20" s="42">
        <v>898599.93200000003</v>
      </c>
      <c r="AA20" s="42">
        <v>4.9509999999999996</v>
      </c>
      <c r="AB20" s="42" t="s">
        <v>36</v>
      </c>
      <c r="AC20" s="42">
        <v>1</v>
      </c>
      <c r="AD20" s="42">
        <v>1</v>
      </c>
      <c r="AE20" s="42">
        <v>4448968.26</v>
      </c>
    </row>
    <row r="21" spans="1:31" x14ac:dyDescent="0.2">
      <c r="A21" s="42" t="s">
        <v>917</v>
      </c>
      <c r="B21" s="42">
        <v>1</v>
      </c>
      <c r="C21" s="42" t="s">
        <v>48</v>
      </c>
      <c r="D21" s="42">
        <v>2</v>
      </c>
      <c r="E21" s="42" t="s">
        <v>400</v>
      </c>
      <c r="F21" s="42" t="s">
        <v>499</v>
      </c>
      <c r="G21" s="42">
        <v>2568</v>
      </c>
      <c r="H21" s="42" t="s">
        <v>500</v>
      </c>
      <c r="I21" s="42">
        <v>8766410.2300000004</v>
      </c>
      <c r="J21" s="42">
        <v>8766410.2300000004</v>
      </c>
      <c r="K21" s="42" t="b">
        <v>0</v>
      </c>
      <c r="L21" s="42">
        <v>5</v>
      </c>
      <c r="M21" s="42" t="s">
        <v>108</v>
      </c>
      <c r="N21" s="42">
        <v>2</v>
      </c>
      <c r="O21" s="42" t="s">
        <v>122</v>
      </c>
      <c r="P21" s="42">
        <v>1</v>
      </c>
      <c r="Q21" s="42" t="s">
        <v>326</v>
      </c>
      <c r="R21" s="42" t="s">
        <v>114</v>
      </c>
      <c r="U21" s="42" t="s">
        <v>121</v>
      </c>
      <c r="V21" s="42">
        <v>1</v>
      </c>
      <c r="W21" s="42" t="s">
        <v>116</v>
      </c>
      <c r="X21" s="42">
        <v>18</v>
      </c>
      <c r="Y21" s="42" t="s">
        <v>117</v>
      </c>
      <c r="Z21" s="42">
        <v>2851421.49</v>
      </c>
      <c r="AA21" s="42">
        <v>3.0743999999999998</v>
      </c>
      <c r="AB21" s="42" t="s">
        <v>36</v>
      </c>
      <c r="AC21" s="42">
        <v>1</v>
      </c>
      <c r="AD21" s="42">
        <v>1</v>
      </c>
      <c r="AE21" s="42">
        <v>8766410.2300000004</v>
      </c>
    </row>
    <row r="22" spans="1:31" x14ac:dyDescent="0.2">
      <c r="A22" s="42" t="s">
        <v>917</v>
      </c>
      <c r="B22" s="42">
        <v>1</v>
      </c>
      <c r="C22" s="42" t="s">
        <v>48</v>
      </c>
      <c r="D22" s="42">
        <v>2</v>
      </c>
      <c r="E22" s="42" t="s">
        <v>400</v>
      </c>
      <c r="F22" s="42" t="s">
        <v>132</v>
      </c>
      <c r="G22" s="42">
        <v>2856</v>
      </c>
      <c r="H22" s="42" t="s">
        <v>133</v>
      </c>
      <c r="I22" s="42">
        <v>5765230.1699999999</v>
      </c>
      <c r="J22" s="42">
        <v>5765230.1699999999</v>
      </c>
      <c r="K22" s="42" t="b">
        <v>0</v>
      </c>
      <c r="L22" s="42">
        <v>5</v>
      </c>
      <c r="M22" s="42" t="s">
        <v>108</v>
      </c>
      <c r="N22" s="42">
        <v>4</v>
      </c>
      <c r="O22" s="42" t="s">
        <v>109</v>
      </c>
      <c r="P22" s="42">
        <v>6</v>
      </c>
      <c r="Q22" s="42" t="s">
        <v>109</v>
      </c>
      <c r="R22" s="42" t="s">
        <v>114</v>
      </c>
      <c r="U22" s="42" t="s">
        <v>121</v>
      </c>
      <c r="V22" s="42">
        <v>1</v>
      </c>
      <c r="W22" s="42" t="s">
        <v>116</v>
      </c>
      <c r="X22" s="42">
        <v>18</v>
      </c>
      <c r="Y22" s="42" t="s">
        <v>117</v>
      </c>
      <c r="Z22" s="42">
        <v>1667166.99</v>
      </c>
      <c r="AA22" s="42">
        <v>3.4581</v>
      </c>
      <c r="AB22" s="42" t="s">
        <v>36</v>
      </c>
      <c r="AC22" s="42">
        <v>1</v>
      </c>
      <c r="AD22" s="42">
        <v>1</v>
      </c>
      <c r="AE22" s="42">
        <v>5765230.1699999999</v>
      </c>
    </row>
    <row r="23" spans="1:31" x14ac:dyDescent="0.2">
      <c r="A23" s="42" t="s">
        <v>917</v>
      </c>
      <c r="B23" s="42">
        <v>1</v>
      </c>
      <c r="C23" s="42" t="s">
        <v>48</v>
      </c>
      <c r="D23" s="42">
        <v>2</v>
      </c>
      <c r="E23" s="42" t="s">
        <v>400</v>
      </c>
      <c r="F23" s="42" t="s">
        <v>501</v>
      </c>
      <c r="G23" s="42">
        <v>2857</v>
      </c>
      <c r="H23" s="42" t="s">
        <v>502</v>
      </c>
      <c r="I23" s="42">
        <v>3181195.66</v>
      </c>
      <c r="J23" s="42">
        <v>3184057.71</v>
      </c>
      <c r="K23" s="42" t="b">
        <v>0</v>
      </c>
      <c r="L23" s="42">
        <v>5</v>
      </c>
      <c r="M23" s="42" t="s">
        <v>108</v>
      </c>
      <c r="N23" s="42">
        <v>29</v>
      </c>
      <c r="O23" s="42" t="s">
        <v>142</v>
      </c>
      <c r="P23" s="42">
        <v>3</v>
      </c>
      <c r="Q23" s="42" t="s">
        <v>325</v>
      </c>
      <c r="R23" s="42" t="s">
        <v>114</v>
      </c>
      <c r="U23" s="42" t="s">
        <v>121</v>
      </c>
      <c r="V23" s="42">
        <v>1</v>
      </c>
      <c r="W23" s="42" t="s">
        <v>116</v>
      </c>
      <c r="X23" s="42">
        <v>18</v>
      </c>
      <c r="Y23" s="42" t="s">
        <v>117</v>
      </c>
      <c r="Z23" s="42">
        <v>1272020.3370000001</v>
      </c>
      <c r="AA23" s="42">
        <v>2.5031500000000002</v>
      </c>
      <c r="AB23" s="42" t="s">
        <v>36</v>
      </c>
      <c r="AC23" s="42">
        <v>1</v>
      </c>
      <c r="AD23" s="42">
        <v>1</v>
      </c>
      <c r="AE23" s="42">
        <v>3184057.71</v>
      </c>
    </row>
    <row r="24" spans="1:31" x14ac:dyDescent="0.2">
      <c r="A24" s="42" t="s">
        <v>917</v>
      </c>
      <c r="B24" s="42">
        <v>1</v>
      </c>
      <c r="C24" s="42" t="s">
        <v>48</v>
      </c>
      <c r="D24" s="42">
        <v>2</v>
      </c>
      <c r="E24" s="42" t="s">
        <v>400</v>
      </c>
      <c r="F24" s="42" t="s">
        <v>195</v>
      </c>
      <c r="G24" s="42">
        <v>2859</v>
      </c>
      <c r="H24" s="42" t="s">
        <v>280</v>
      </c>
      <c r="I24" s="42">
        <v>12245999.390000001</v>
      </c>
      <c r="J24" s="42">
        <v>12245999.390000001</v>
      </c>
      <c r="K24" s="42" t="b">
        <v>0</v>
      </c>
      <c r="L24" s="42">
        <v>5</v>
      </c>
      <c r="M24" s="42" t="s">
        <v>108</v>
      </c>
      <c r="N24" s="42">
        <v>2</v>
      </c>
      <c r="O24" s="42" t="s">
        <v>122</v>
      </c>
      <c r="P24" s="42">
        <v>1</v>
      </c>
      <c r="Q24" s="42" t="s">
        <v>326</v>
      </c>
      <c r="R24" s="42" t="s">
        <v>114</v>
      </c>
      <c r="U24" s="42" t="s">
        <v>121</v>
      </c>
      <c r="V24" s="42">
        <v>1</v>
      </c>
      <c r="W24" s="42" t="s">
        <v>116</v>
      </c>
      <c r="X24" s="42">
        <v>18</v>
      </c>
      <c r="Y24" s="42" t="s">
        <v>117</v>
      </c>
      <c r="Z24" s="42">
        <v>4473751.284</v>
      </c>
      <c r="AA24" s="42">
        <v>2.7372999999999998</v>
      </c>
      <c r="AB24" s="42" t="s">
        <v>36</v>
      </c>
      <c r="AC24" s="42">
        <v>1</v>
      </c>
      <c r="AD24" s="42">
        <v>1</v>
      </c>
      <c r="AE24" s="42">
        <v>12245999.390000001</v>
      </c>
    </row>
    <row r="25" spans="1:31" x14ac:dyDescent="0.2">
      <c r="A25" s="42" t="s">
        <v>917</v>
      </c>
      <c r="B25" s="42">
        <v>1</v>
      </c>
      <c r="C25" s="42" t="s">
        <v>48</v>
      </c>
      <c r="D25" s="42">
        <v>2</v>
      </c>
      <c r="E25" s="42" t="s">
        <v>400</v>
      </c>
      <c r="F25" s="42" t="s">
        <v>134</v>
      </c>
      <c r="G25" s="42">
        <v>2865</v>
      </c>
      <c r="H25" s="42" t="s">
        <v>135</v>
      </c>
      <c r="I25" s="42">
        <v>4950151.93</v>
      </c>
      <c r="J25" s="42">
        <v>4950151.93</v>
      </c>
      <c r="K25" s="42" t="b">
        <v>0</v>
      </c>
      <c r="L25" s="42">
        <v>4</v>
      </c>
      <c r="M25" s="42" t="s">
        <v>128</v>
      </c>
      <c r="N25" s="42">
        <v>1</v>
      </c>
      <c r="O25" s="42" t="s">
        <v>112</v>
      </c>
      <c r="P25" s="42">
        <v>14</v>
      </c>
      <c r="Q25" s="42" t="s">
        <v>323</v>
      </c>
      <c r="R25" s="42" t="s">
        <v>114</v>
      </c>
      <c r="U25" s="42" t="s">
        <v>121</v>
      </c>
      <c r="V25" s="42">
        <v>1</v>
      </c>
      <c r="W25" s="42" t="s">
        <v>116</v>
      </c>
      <c r="X25" s="42">
        <v>18</v>
      </c>
      <c r="Y25" s="42" t="s">
        <v>117</v>
      </c>
      <c r="Z25" s="42">
        <v>8742762.1559999995</v>
      </c>
      <c r="AA25" s="42">
        <v>0.56620000000000004</v>
      </c>
      <c r="AB25" s="42" t="s">
        <v>36</v>
      </c>
      <c r="AC25" s="42">
        <v>1</v>
      </c>
      <c r="AD25" s="42">
        <v>1</v>
      </c>
      <c r="AE25" s="42">
        <v>4950151.93</v>
      </c>
    </row>
    <row r="26" spans="1:31" x14ac:dyDescent="0.2">
      <c r="A26" s="42" t="s">
        <v>917</v>
      </c>
      <c r="B26" s="42">
        <v>1</v>
      </c>
      <c r="C26" s="42" t="s">
        <v>48</v>
      </c>
      <c r="D26" s="42">
        <v>2</v>
      </c>
      <c r="E26" s="42" t="s">
        <v>400</v>
      </c>
      <c r="F26" s="42" t="s">
        <v>503</v>
      </c>
      <c r="G26" s="42">
        <v>2887</v>
      </c>
      <c r="H26" s="42" t="s">
        <v>504</v>
      </c>
      <c r="I26" s="42">
        <v>4950988.42</v>
      </c>
      <c r="J26" s="42">
        <v>4950988.42</v>
      </c>
      <c r="K26" s="42" t="b">
        <v>0</v>
      </c>
      <c r="L26" s="42">
        <v>4</v>
      </c>
      <c r="M26" s="42" t="s">
        <v>128</v>
      </c>
      <c r="N26" s="42">
        <v>1</v>
      </c>
      <c r="O26" s="42" t="s">
        <v>112</v>
      </c>
      <c r="P26" s="42">
        <v>250</v>
      </c>
      <c r="Q26" s="42" t="s">
        <v>334</v>
      </c>
      <c r="R26" s="42" t="s">
        <v>114</v>
      </c>
      <c r="U26" s="42" t="s">
        <v>121</v>
      </c>
      <c r="V26" s="42">
        <v>1</v>
      </c>
      <c r="W26" s="42" t="s">
        <v>116</v>
      </c>
      <c r="X26" s="42">
        <v>18</v>
      </c>
      <c r="Y26" s="42" t="s">
        <v>117</v>
      </c>
      <c r="Z26" s="42">
        <v>4670743.7934999997</v>
      </c>
      <c r="AA26" s="42">
        <v>1.06</v>
      </c>
      <c r="AB26" s="42" t="s">
        <v>36</v>
      </c>
      <c r="AC26" s="42">
        <v>1</v>
      </c>
      <c r="AD26" s="42">
        <v>1</v>
      </c>
      <c r="AE26" s="42">
        <v>4950988.42</v>
      </c>
    </row>
    <row r="27" spans="1:31" x14ac:dyDescent="0.2">
      <c r="A27" s="42" t="s">
        <v>917</v>
      </c>
      <c r="B27" s="42">
        <v>1</v>
      </c>
      <c r="C27" s="42" t="s">
        <v>48</v>
      </c>
      <c r="D27" s="42">
        <v>2</v>
      </c>
      <c r="E27" s="42" t="s">
        <v>400</v>
      </c>
      <c r="F27" s="42" t="s">
        <v>505</v>
      </c>
      <c r="G27" s="42">
        <v>3077</v>
      </c>
      <c r="H27" s="42" t="s">
        <v>506</v>
      </c>
      <c r="I27" s="42">
        <v>8445504.1500000004</v>
      </c>
      <c r="J27" s="42">
        <v>8466935.5099999998</v>
      </c>
      <c r="K27" s="42" t="b">
        <v>0</v>
      </c>
      <c r="L27" s="42">
        <v>5</v>
      </c>
      <c r="M27" s="42" t="s">
        <v>108</v>
      </c>
      <c r="N27" s="42">
        <v>2</v>
      </c>
      <c r="O27" s="42" t="s">
        <v>122</v>
      </c>
      <c r="P27" s="42">
        <v>2</v>
      </c>
      <c r="Q27" s="42" t="s">
        <v>322</v>
      </c>
      <c r="R27" s="42" t="s">
        <v>114</v>
      </c>
      <c r="U27" s="42" t="s">
        <v>121</v>
      </c>
      <c r="V27" s="42">
        <v>1</v>
      </c>
      <c r="W27" s="42" t="s">
        <v>116</v>
      </c>
      <c r="X27" s="42">
        <v>18</v>
      </c>
      <c r="Y27" s="42" t="s">
        <v>117</v>
      </c>
      <c r="Z27" s="42">
        <v>5164182.5520000001</v>
      </c>
      <c r="AA27" s="42">
        <v>1.6395500000000001</v>
      </c>
      <c r="AB27" s="42" t="s">
        <v>36</v>
      </c>
      <c r="AC27" s="42">
        <v>1</v>
      </c>
      <c r="AD27" s="42">
        <v>1</v>
      </c>
      <c r="AE27" s="42">
        <v>8466935.5</v>
      </c>
    </row>
    <row r="28" spans="1:31" x14ac:dyDescent="0.2">
      <c r="A28" s="42" t="s">
        <v>917</v>
      </c>
      <c r="B28" s="42">
        <v>1</v>
      </c>
      <c r="C28" s="42" t="s">
        <v>48</v>
      </c>
      <c r="D28" s="42">
        <v>2</v>
      </c>
      <c r="E28" s="42" t="s">
        <v>400</v>
      </c>
      <c r="F28" s="42" t="s">
        <v>148</v>
      </c>
      <c r="G28" s="42">
        <v>3095</v>
      </c>
      <c r="H28" s="42" t="s">
        <v>149</v>
      </c>
      <c r="I28" s="42">
        <v>6138066.5599999996</v>
      </c>
      <c r="J28" s="42">
        <v>6138066.5599999996</v>
      </c>
      <c r="K28" s="42" t="b">
        <v>0</v>
      </c>
      <c r="L28" s="42">
        <v>5</v>
      </c>
      <c r="M28" s="42" t="s">
        <v>108</v>
      </c>
      <c r="N28" s="42">
        <v>28</v>
      </c>
      <c r="O28" s="42" t="s">
        <v>120</v>
      </c>
      <c r="P28" s="42">
        <v>9</v>
      </c>
      <c r="Q28" s="42" t="s">
        <v>320</v>
      </c>
      <c r="R28" s="42" t="s">
        <v>114</v>
      </c>
      <c r="U28" s="42" t="s">
        <v>121</v>
      </c>
      <c r="V28" s="42">
        <v>1</v>
      </c>
      <c r="W28" s="42" t="s">
        <v>116</v>
      </c>
      <c r="X28" s="42">
        <v>18</v>
      </c>
      <c r="Y28" s="42" t="s">
        <v>117</v>
      </c>
      <c r="Z28" s="42">
        <v>417271.69</v>
      </c>
      <c r="AA28" s="42">
        <v>14.71</v>
      </c>
      <c r="AB28" s="42" t="s">
        <v>36</v>
      </c>
      <c r="AC28" s="42">
        <v>1</v>
      </c>
      <c r="AD28" s="42">
        <v>1</v>
      </c>
      <c r="AE28" s="42">
        <v>6138066.5599999996</v>
      </c>
    </row>
    <row r="29" spans="1:31" x14ac:dyDescent="0.2">
      <c r="A29" s="42" t="s">
        <v>917</v>
      </c>
      <c r="B29" s="42">
        <v>1</v>
      </c>
      <c r="C29" s="42" t="s">
        <v>48</v>
      </c>
      <c r="D29" s="42">
        <v>2</v>
      </c>
      <c r="E29" s="42" t="s">
        <v>400</v>
      </c>
      <c r="F29" s="42" t="s">
        <v>150</v>
      </c>
      <c r="G29" s="42">
        <v>3135</v>
      </c>
      <c r="H29" s="42" t="s">
        <v>151</v>
      </c>
      <c r="I29" s="42">
        <v>5512925.2000000002</v>
      </c>
      <c r="J29" s="42">
        <v>5512925.2000000002</v>
      </c>
      <c r="K29" s="42" t="b">
        <v>0</v>
      </c>
      <c r="L29" s="42">
        <v>5</v>
      </c>
      <c r="M29" s="42" t="s">
        <v>108</v>
      </c>
      <c r="N29" s="42">
        <v>4</v>
      </c>
      <c r="O29" s="42" t="s">
        <v>109</v>
      </c>
      <c r="P29" s="42">
        <v>6</v>
      </c>
      <c r="Q29" s="42" t="s">
        <v>109</v>
      </c>
      <c r="R29" s="42" t="s">
        <v>114</v>
      </c>
      <c r="U29" s="42" t="s">
        <v>121</v>
      </c>
      <c r="V29" s="42">
        <v>1</v>
      </c>
      <c r="W29" s="42" t="s">
        <v>116</v>
      </c>
      <c r="X29" s="42">
        <v>18</v>
      </c>
      <c r="Y29" s="42" t="s">
        <v>117</v>
      </c>
      <c r="Z29" s="42">
        <v>7611.9700999999995</v>
      </c>
      <c r="AA29" s="42">
        <v>724.24419999999998</v>
      </c>
      <c r="AB29" s="42" t="s">
        <v>36</v>
      </c>
      <c r="AC29" s="42">
        <v>1</v>
      </c>
      <c r="AD29" s="42">
        <v>1</v>
      </c>
      <c r="AE29" s="42">
        <v>5512925.2000000002</v>
      </c>
    </row>
    <row r="30" spans="1:31" x14ac:dyDescent="0.2">
      <c r="A30" s="42" t="s">
        <v>917</v>
      </c>
      <c r="B30" s="42">
        <v>1</v>
      </c>
      <c r="C30" s="42" t="s">
        <v>48</v>
      </c>
      <c r="D30" s="42">
        <v>2</v>
      </c>
      <c r="E30" s="42" t="s">
        <v>400</v>
      </c>
      <c r="F30" s="42" t="s">
        <v>152</v>
      </c>
      <c r="G30" s="42">
        <v>3159</v>
      </c>
      <c r="H30" s="42" t="s">
        <v>153</v>
      </c>
      <c r="I30" s="42">
        <v>6916251.4900000002</v>
      </c>
      <c r="J30" s="42">
        <v>6916251.4900000002</v>
      </c>
      <c r="K30" s="42" t="b">
        <v>0</v>
      </c>
      <c r="L30" s="42">
        <v>5</v>
      </c>
      <c r="M30" s="42" t="s">
        <v>108</v>
      </c>
      <c r="N30" s="42">
        <v>28</v>
      </c>
      <c r="O30" s="42" t="s">
        <v>120</v>
      </c>
      <c r="P30" s="42">
        <v>9</v>
      </c>
      <c r="Q30" s="42" t="s">
        <v>320</v>
      </c>
      <c r="R30" s="42" t="s">
        <v>114</v>
      </c>
      <c r="U30" s="42" t="s">
        <v>121</v>
      </c>
      <c r="V30" s="42">
        <v>1</v>
      </c>
      <c r="W30" s="42" t="s">
        <v>116</v>
      </c>
      <c r="X30" s="42">
        <v>18</v>
      </c>
      <c r="Y30" s="42" t="s">
        <v>117</v>
      </c>
      <c r="Z30" s="42">
        <v>6549480.5800000001</v>
      </c>
      <c r="AA30" s="42">
        <v>1.056</v>
      </c>
      <c r="AB30" s="42" t="s">
        <v>36</v>
      </c>
      <c r="AC30" s="42">
        <v>1</v>
      </c>
      <c r="AD30" s="42">
        <v>1</v>
      </c>
      <c r="AE30" s="42">
        <v>6916251.4900000002</v>
      </c>
    </row>
    <row r="31" spans="1:31" x14ac:dyDescent="0.2">
      <c r="A31" s="42" t="s">
        <v>917</v>
      </c>
      <c r="B31" s="42">
        <v>1</v>
      </c>
      <c r="C31" s="42" t="s">
        <v>48</v>
      </c>
      <c r="D31" s="42">
        <v>2</v>
      </c>
      <c r="E31" s="42" t="s">
        <v>400</v>
      </c>
      <c r="F31" s="42" t="s">
        <v>507</v>
      </c>
      <c r="G31" s="42">
        <v>6673</v>
      </c>
      <c r="H31" s="42" t="s">
        <v>508</v>
      </c>
      <c r="I31" s="42">
        <v>8343836.1399999997</v>
      </c>
      <c r="J31" s="42">
        <v>8343836.1399999997</v>
      </c>
      <c r="K31" s="42" t="b">
        <v>0</v>
      </c>
      <c r="L31" s="42">
        <v>5</v>
      </c>
      <c r="M31" s="42" t="s">
        <v>108</v>
      </c>
      <c r="N31" s="42">
        <v>2</v>
      </c>
      <c r="O31" s="42" t="s">
        <v>122</v>
      </c>
      <c r="P31" s="42">
        <v>2</v>
      </c>
      <c r="Q31" s="42" t="s">
        <v>322</v>
      </c>
      <c r="R31" s="42" t="s">
        <v>114</v>
      </c>
      <c r="U31" s="42" t="s">
        <v>121</v>
      </c>
      <c r="V31" s="42">
        <v>1</v>
      </c>
      <c r="W31" s="42" t="s">
        <v>116</v>
      </c>
      <c r="X31" s="42">
        <v>18</v>
      </c>
      <c r="Y31" s="42" t="s">
        <v>117</v>
      </c>
      <c r="Z31" s="42">
        <v>415616.62</v>
      </c>
      <c r="AA31" s="42">
        <v>20.075800000000001</v>
      </c>
      <c r="AB31" s="42" t="s">
        <v>36</v>
      </c>
      <c r="AC31" s="42">
        <v>1</v>
      </c>
      <c r="AD31" s="42">
        <v>1</v>
      </c>
      <c r="AE31" s="42">
        <v>8343836.1399999997</v>
      </c>
    </row>
    <row r="32" spans="1:31" x14ac:dyDescent="0.2">
      <c r="A32" s="42" t="s">
        <v>917</v>
      </c>
      <c r="B32" s="42">
        <v>1</v>
      </c>
      <c r="C32" s="42" t="s">
        <v>48</v>
      </c>
      <c r="D32" s="42">
        <v>2</v>
      </c>
      <c r="E32" s="42" t="s">
        <v>400</v>
      </c>
      <c r="F32" s="42" t="s">
        <v>164</v>
      </c>
      <c r="G32" s="42">
        <v>6750</v>
      </c>
      <c r="H32" s="42" t="s">
        <v>165</v>
      </c>
      <c r="I32" s="42">
        <v>6624592.9000000004</v>
      </c>
      <c r="J32" s="42">
        <v>6624592.9000000004</v>
      </c>
      <c r="K32" s="42" t="b">
        <v>0</v>
      </c>
      <c r="L32" s="42">
        <v>5</v>
      </c>
      <c r="M32" s="42" t="s">
        <v>108</v>
      </c>
      <c r="N32" s="42">
        <v>5</v>
      </c>
      <c r="O32" s="42" t="s">
        <v>143</v>
      </c>
      <c r="P32" s="42">
        <v>55</v>
      </c>
      <c r="Q32" s="42" t="s">
        <v>143</v>
      </c>
      <c r="R32" s="42" t="s">
        <v>114</v>
      </c>
      <c r="U32" s="42" t="s">
        <v>121</v>
      </c>
      <c r="V32" s="42">
        <v>1</v>
      </c>
      <c r="W32" s="42" t="s">
        <v>116</v>
      </c>
      <c r="X32" s="42">
        <v>18</v>
      </c>
      <c r="Y32" s="42" t="s">
        <v>117</v>
      </c>
      <c r="Z32" s="42">
        <v>8007485.6804999998</v>
      </c>
      <c r="AA32" s="42">
        <v>0.82730000000000004</v>
      </c>
      <c r="AB32" s="42" t="s">
        <v>36</v>
      </c>
      <c r="AC32" s="42">
        <v>1</v>
      </c>
      <c r="AD32" s="42">
        <v>1</v>
      </c>
      <c r="AE32" s="42">
        <v>6624592.9000000004</v>
      </c>
    </row>
    <row r="33" spans="1:31" x14ac:dyDescent="0.2">
      <c r="A33" s="42" t="s">
        <v>917</v>
      </c>
      <c r="B33" s="42">
        <v>1</v>
      </c>
      <c r="C33" s="42" t="s">
        <v>48</v>
      </c>
      <c r="D33" s="42">
        <v>2</v>
      </c>
      <c r="E33" s="42" t="s">
        <v>400</v>
      </c>
      <c r="F33" s="42" t="s">
        <v>283</v>
      </c>
      <c r="G33" s="42">
        <v>9237</v>
      </c>
      <c r="H33" s="42" t="s">
        <v>284</v>
      </c>
      <c r="I33" s="42">
        <v>10428178.949999999</v>
      </c>
      <c r="J33" s="42">
        <v>10428178.949999999</v>
      </c>
      <c r="K33" s="42" t="b">
        <v>0</v>
      </c>
      <c r="L33" s="42">
        <v>4</v>
      </c>
      <c r="M33" s="42" t="s">
        <v>128</v>
      </c>
      <c r="N33" s="42">
        <v>2</v>
      </c>
      <c r="O33" s="42" t="s">
        <v>122</v>
      </c>
      <c r="P33" s="42">
        <v>14</v>
      </c>
      <c r="Q33" s="42" t="s">
        <v>323</v>
      </c>
      <c r="R33" s="42" t="s">
        <v>114</v>
      </c>
      <c r="U33" s="42" t="s">
        <v>121</v>
      </c>
      <c r="V33" s="42">
        <v>1</v>
      </c>
      <c r="W33" s="42" t="s">
        <v>116</v>
      </c>
      <c r="X33" s="42">
        <v>18</v>
      </c>
      <c r="Y33" s="42" t="s">
        <v>117</v>
      </c>
      <c r="Z33" s="42">
        <v>11205866.058800001</v>
      </c>
      <c r="AA33" s="42">
        <v>0.93059999999999998</v>
      </c>
      <c r="AB33" s="42" t="s">
        <v>36</v>
      </c>
      <c r="AC33" s="42">
        <v>1</v>
      </c>
      <c r="AD33" s="42">
        <v>1</v>
      </c>
      <c r="AE33" s="42">
        <v>10428178.949999999</v>
      </c>
    </row>
    <row r="34" spans="1:31" x14ac:dyDescent="0.2">
      <c r="A34" s="42" t="s">
        <v>917</v>
      </c>
      <c r="B34" s="42">
        <v>1</v>
      </c>
      <c r="C34" s="42" t="s">
        <v>48</v>
      </c>
      <c r="D34" s="42">
        <v>2</v>
      </c>
      <c r="E34" s="42" t="s">
        <v>400</v>
      </c>
      <c r="F34" s="42" t="s">
        <v>344</v>
      </c>
      <c r="G34" s="42">
        <v>10176</v>
      </c>
      <c r="H34" s="42" t="s">
        <v>345</v>
      </c>
      <c r="I34" s="42">
        <v>8651194.1799999997</v>
      </c>
      <c r="J34" s="42">
        <v>8651194.1799999997</v>
      </c>
      <c r="K34" s="42" t="b">
        <v>0</v>
      </c>
      <c r="L34" s="42">
        <v>5</v>
      </c>
      <c r="M34" s="42" t="s">
        <v>108</v>
      </c>
      <c r="N34" s="42">
        <v>2</v>
      </c>
      <c r="O34" s="42" t="s">
        <v>122</v>
      </c>
      <c r="P34" s="42">
        <v>2</v>
      </c>
      <c r="Q34" s="42" t="s">
        <v>322</v>
      </c>
      <c r="R34" s="42" t="s">
        <v>114</v>
      </c>
      <c r="U34" s="42" t="s">
        <v>121</v>
      </c>
      <c r="V34" s="42">
        <v>1</v>
      </c>
      <c r="W34" s="42" t="s">
        <v>116</v>
      </c>
      <c r="X34" s="42">
        <v>18</v>
      </c>
      <c r="Y34" s="42" t="s">
        <v>117</v>
      </c>
      <c r="Z34" s="42">
        <v>7524740.5199999996</v>
      </c>
      <c r="AA34" s="42">
        <v>1.1496999999999999</v>
      </c>
      <c r="AB34" s="42" t="s">
        <v>36</v>
      </c>
      <c r="AC34" s="42">
        <v>1</v>
      </c>
      <c r="AD34" s="42">
        <v>1</v>
      </c>
      <c r="AE34" s="42">
        <v>8651194.1799999997</v>
      </c>
    </row>
    <row r="35" spans="1:31" x14ac:dyDescent="0.2">
      <c r="A35" s="42" t="s">
        <v>917</v>
      </c>
      <c r="B35" s="42">
        <v>1</v>
      </c>
      <c r="C35" s="42" t="s">
        <v>48</v>
      </c>
      <c r="D35" s="42">
        <v>2</v>
      </c>
      <c r="E35" s="42" t="s">
        <v>400</v>
      </c>
      <c r="F35" s="42" t="s">
        <v>370</v>
      </c>
      <c r="G35" s="42">
        <v>11037</v>
      </c>
      <c r="H35" s="42" t="s">
        <v>371</v>
      </c>
      <c r="I35" s="42">
        <v>2196945.81</v>
      </c>
      <c r="J35" s="42">
        <v>2197635.77</v>
      </c>
      <c r="K35" s="42" t="b">
        <v>1</v>
      </c>
      <c r="L35" s="42">
        <v>4</v>
      </c>
      <c r="M35" s="42" t="s">
        <v>128</v>
      </c>
      <c r="N35" s="42">
        <v>2</v>
      </c>
      <c r="O35" s="42" t="s">
        <v>122</v>
      </c>
      <c r="P35" s="42">
        <v>72</v>
      </c>
      <c r="Q35" s="42" t="s">
        <v>245</v>
      </c>
      <c r="R35" s="42" t="s">
        <v>204</v>
      </c>
      <c r="S35" s="42">
        <v>1</v>
      </c>
      <c r="T35" s="42" t="s">
        <v>205</v>
      </c>
      <c r="U35" s="42" t="s">
        <v>121</v>
      </c>
      <c r="V35" s="42">
        <v>9</v>
      </c>
      <c r="W35" s="42" t="s">
        <v>206</v>
      </c>
      <c r="X35" s="42">
        <v>3</v>
      </c>
      <c r="Y35" s="42" t="s">
        <v>246</v>
      </c>
      <c r="Z35" s="42">
        <v>2262164</v>
      </c>
      <c r="AA35" s="42">
        <v>97.147499999999994</v>
      </c>
      <c r="AB35" s="42" t="s">
        <v>36</v>
      </c>
      <c r="AC35" s="42">
        <v>1</v>
      </c>
      <c r="AD35" s="42">
        <v>100</v>
      </c>
      <c r="AE35" s="42">
        <v>2197635.77</v>
      </c>
    </row>
    <row r="36" spans="1:31" x14ac:dyDescent="0.2">
      <c r="A36" s="42" t="s">
        <v>917</v>
      </c>
      <c r="B36" s="42">
        <v>1</v>
      </c>
      <c r="C36" s="42" t="s">
        <v>46</v>
      </c>
      <c r="D36" s="42">
        <v>3</v>
      </c>
      <c r="E36" s="42" t="s">
        <v>395</v>
      </c>
      <c r="F36" s="42" t="s">
        <v>495</v>
      </c>
      <c r="G36" s="42">
        <v>2526</v>
      </c>
      <c r="H36" s="42" t="s">
        <v>496</v>
      </c>
      <c r="I36" s="42">
        <v>5132934.05</v>
      </c>
      <c r="J36" s="42">
        <v>5132934.05</v>
      </c>
      <c r="K36" s="42" t="b">
        <v>0</v>
      </c>
      <c r="L36" s="42">
        <v>5</v>
      </c>
      <c r="M36" s="42" t="s">
        <v>108</v>
      </c>
      <c r="N36" s="42">
        <v>29</v>
      </c>
      <c r="O36" s="42" t="s">
        <v>142</v>
      </c>
      <c r="P36" s="42">
        <v>3</v>
      </c>
      <c r="Q36" s="42" t="s">
        <v>325</v>
      </c>
      <c r="R36" s="42" t="s">
        <v>114</v>
      </c>
      <c r="U36" s="42" t="s">
        <v>121</v>
      </c>
      <c r="V36" s="42">
        <v>1</v>
      </c>
      <c r="W36" s="42" t="s">
        <v>116</v>
      </c>
      <c r="X36" s="42">
        <v>18</v>
      </c>
      <c r="Y36" s="42" t="s">
        <v>117</v>
      </c>
      <c r="Z36" s="42">
        <v>2036474.53</v>
      </c>
      <c r="AA36" s="42">
        <v>2.5205000000000002</v>
      </c>
      <c r="AB36" s="42" t="s">
        <v>36</v>
      </c>
      <c r="AC36" s="42">
        <v>1</v>
      </c>
      <c r="AD36" s="42">
        <v>1</v>
      </c>
      <c r="AE36" s="42">
        <v>5132934.05</v>
      </c>
    </row>
    <row r="37" spans="1:31" x14ac:dyDescent="0.2">
      <c r="A37" s="42" t="s">
        <v>917</v>
      </c>
      <c r="B37" s="42">
        <v>1</v>
      </c>
      <c r="C37" s="42" t="s">
        <v>46</v>
      </c>
      <c r="D37" s="42">
        <v>3</v>
      </c>
      <c r="E37" s="42" t="s">
        <v>395</v>
      </c>
      <c r="F37" s="42" t="s">
        <v>123</v>
      </c>
      <c r="G37" s="42">
        <v>2529</v>
      </c>
      <c r="H37" s="42" t="s">
        <v>124</v>
      </c>
      <c r="I37" s="42">
        <v>6225074.3300000001</v>
      </c>
      <c r="J37" s="42">
        <v>6225074.3300000001</v>
      </c>
      <c r="K37" s="42" t="b">
        <v>0</v>
      </c>
      <c r="L37" s="42">
        <v>5</v>
      </c>
      <c r="M37" s="42" t="s">
        <v>108</v>
      </c>
      <c r="N37" s="42">
        <v>2</v>
      </c>
      <c r="O37" s="42" t="s">
        <v>122</v>
      </c>
      <c r="P37" s="42">
        <v>1</v>
      </c>
      <c r="Q37" s="42" t="s">
        <v>326</v>
      </c>
      <c r="R37" s="42" t="s">
        <v>114</v>
      </c>
      <c r="U37" s="42" t="s">
        <v>121</v>
      </c>
      <c r="V37" s="42">
        <v>1</v>
      </c>
      <c r="W37" s="42" t="s">
        <v>116</v>
      </c>
      <c r="X37" s="42">
        <v>18</v>
      </c>
      <c r="Y37" s="42" t="s">
        <v>117</v>
      </c>
      <c r="Z37" s="42">
        <v>25105.367999999999</v>
      </c>
      <c r="AA37" s="42">
        <v>247.9579</v>
      </c>
      <c r="AB37" s="42" t="s">
        <v>36</v>
      </c>
      <c r="AC37" s="42">
        <v>1</v>
      </c>
      <c r="AD37" s="42">
        <v>1</v>
      </c>
      <c r="AE37" s="42">
        <v>6225074.3300000001</v>
      </c>
    </row>
    <row r="38" spans="1:31" x14ac:dyDescent="0.2">
      <c r="A38" s="42" t="s">
        <v>917</v>
      </c>
      <c r="B38" s="42">
        <v>1</v>
      </c>
      <c r="C38" s="42" t="s">
        <v>46</v>
      </c>
      <c r="D38" s="42">
        <v>3</v>
      </c>
      <c r="E38" s="42" t="s">
        <v>395</v>
      </c>
      <c r="F38" s="42" t="s">
        <v>132</v>
      </c>
      <c r="G38" s="42">
        <v>2856</v>
      </c>
      <c r="H38" s="42" t="s">
        <v>133</v>
      </c>
      <c r="I38" s="42">
        <v>5876087.1399999997</v>
      </c>
      <c r="J38" s="42">
        <v>5876087.1399999997</v>
      </c>
      <c r="K38" s="42" t="b">
        <v>0</v>
      </c>
      <c r="L38" s="42">
        <v>5</v>
      </c>
      <c r="M38" s="42" t="s">
        <v>108</v>
      </c>
      <c r="N38" s="42">
        <v>4</v>
      </c>
      <c r="O38" s="42" t="s">
        <v>109</v>
      </c>
      <c r="P38" s="42">
        <v>6</v>
      </c>
      <c r="Q38" s="42" t="s">
        <v>109</v>
      </c>
      <c r="R38" s="42" t="s">
        <v>114</v>
      </c>
      <c r="U38" s="42" t="s">
        <v>121</v>
      </c>
      <c r="V38" s="42">
        <v>1</v>
      </c>
      <c r="W38" s="42" t="s">
        <v>116</v>
      </c>
      <c r="X38" s="42">
        <v>18</v>
      </c>
      <c r="Y38" s="42" t="s">
        <v>117</v>
      </c>
      <c r="Z38" s="42">
        <v>1699224.18</v>
      </c>
      <c r="AA38" s="42">
        <v>3.4581</v>
      </c>
      <c r="AB38" s="42" t="s">
        <v>36</v>
      </c>
      <c r="AC38" s="42">
        <v>1</v>
      </c>
      <c r="AD38" s="42">
        <v>1</v>
      </c>
      <c r="AE38" s="42">
        <v>5876087.1399999997</v>
      </c>
    </row>
    <row r="39" spans="1:31" x14ac:dyDescent="0.2">
      <c r="A39" s="42" t="s">
        <v>917</v>
      </c>
      <c r="B39" s="42">
        <v>1</v>
      </c>
      <c r="C39" s="42" t="s">
        <v>46</v>
      </c>
      <c r="D39" s="42">
        <v>3</v>
      </c>
      <c r="E39" s="42" t="s">
        <v>395</v>
      </c>
      <c r="F39" s="42" t="s">
        <v>194</v>
      </c>
      <c r="G39" s="42">
        <v>2906</v>
      </c>
      <c r="H39" s="42" t="s">
        <v>364</v>
      </c>
      <c r="I39" s="42">
        <v>6849300.75</v>
      </c>
      <c r="J39" s="42">
        <v>6849300.75</v>
      </c>
      <c r="K39" s="42" t="b">
        <v>0</v>
      </c>
      <c r="L39" s="42">
        <v>5</v>
      </c>
      <c r="M39" s="42" t="s">
        <v>108</v>
      </c>
      <c r="N39" s="42">
        <v>28</v>
      </c>
      <c r="O39" s="42" t="s">
        <v>120</v>
      </c>
      <c r="P39" s="42">
        <v>9</v>
      </c>
      <c r="Q39" s="42" t="s">
        <v>320</v>
      </c>
      <c r="R39" s="42" t="s">
        <v>114</v>
      </c>
      <c r="U39" s="42" t="s">
        <v>121</v>
      </c>
      <c r="V39" s="42">
        <v>1</v>
      </c>
      <c r="W39" s="42" t="s">
        <v>116</v>
      </c>
      <c r="X39" s="42">
        <v>18</v>
      </c>
      <c r="Y39" s="42" t="s">
        <v>117</v>
      </c>
      <c r="Z39" s="42">
        <v>639523.88</v>
      </c>
      <c r="AA39" s="42">
        <v>10.71</v>
      </c>
      <c r="AB39" s="42" t="s">
        <v>36</v>
      </c>
      <c r="AC39" s="42">
        <v>1</v>
      </c>
      <c r="AD39" s="42">
        <v>1</v>
      </c>
      <c r="AE39" s="42">
        <v>6849300.75</v>
      </c>
    </row>
    <row r="40" spans="1:31" x14ac:dyDescent="0.2">
      <c r="A40" s="42" t="s">
        <v>917</v>
      </c>
      <c r="B40" s="42">
        <v>1</v>
      </c>
      <c r="C40" s="42" t="s">
        <v>46</v>
      </c>
      <c r="D40" s="42">
        <v>3</v>
      </c>
      <c r="E40" s="42" t="s">
        <v>395</v>
      </c>
      <c r="F40" s="42" t="s">
        <v>140</v>
      </c>
      <c r="G40" s="42">
        <v>2914</v>
      </c>
      <c r="H40" s="42" t="s">
        <v>141</v>
      </c>
      <c r="I40" s="42">
        <v>5254234.1500000004</v>
      </c>
      <c r="J40" s="42">
        <v>5254234.1500000004</v>
      </c>
      <c r="K40" s="42" t="b">
        <v>0</v>
      </c>
      <c r="L40" s="42">
        <v>5</v>
      </c>
      <c r="M40" s="42" t="s">
        <v>108</v>
      </c>
      <c r="N40" s="42">
        <v>29</v>
      </c>
      <c r="O40" s="42" t="s">
        <v>142</v>
      </c>
      <c r="P40" s="42">
        <v>3</v>
      </c>
      <c r="Q40" s="42" t="s">
        <v>325</v>
      </c>
      <c r="R40" s="42" t="s">
        <v>114</v>
      </c>
      <c r="U40" s="42" t="s">
        <v>121</v>
      </c>
      <c r="V40" s="42">
        <v>1</v>
      </c>
      <c r="W40" s="42" t="s">
        <v>116</v>
      </c>
      <c r="X40" s="42">
        <v>18</v>
      </c>
      <c r="Y40" s="42" t="s">
        <v>117</v>
      </c>
      <c r="Z40" s="42">
        <v>420002.73</v>
      </c>
      <c r="AA40" s="42">
        <v>12.51</v>
      </c>
      <c r="AB40" s="42" t="s">
        <v>36</v>
      </c>
      <c r="AC40" s="42">
        <v>1</v>
      </c>
      <c r="AD40" s="42">
        <v>1</v>
      </c>
      <c r="AE40" s="42">
        <v>5254234.1500000004</v>
      </c>
    </row>
    <row r="41" spans="1:31" x14ac:dyDescent="0.2">
      <c r="A41" s="42" t="s">
        <v>917</v>
      </c>
      <c r="B41" s="42">
        <v>1</v>
      </c>
      <c r="C41" s="42" t="s">
        <v>46</v>
      </c>
      <c r="D41" s="42">
        <v>3</v>
      </c>
      <c r="E41" s="42" t="s">
        <v>395</v>
      </c>
      <c r="F41" s="42" t="s">
        <v>509</v>
      </c>
      <c r="G41" s="42">
        <v>2929</v>
      </c>
      <c r="H41" s="42" t="s">
        <v>510</v>
      </c>
      <c r="I41" s="42">
        <v>6298642.6299999999</v>
      </c>
      <c r="J41" s="42">
        <v>6298642.6299999999</v>
      </c>
      <c r="K41" s="42" t="b">
        <v>0</v>
      </c>
      <c r="L41" s="42">
        <v>5</v>
      </c>
      <c r="M41" s="42" t="s">
        <v>108</v>
      </c>
      <c r="N41" s="42">
        <v>4</v>
      </c>
      <c r="O41" s="42" t="s">
        <v>109</v>
      </c>
      <c r="P41" s="42">
        <v>6</v>
      </c>
      <c r="Q41" s="42" t="s">
        <v>109</v>
      </c>
      <c r="R41" s="42" t="s">
        <v>114</v>
      </c>
      <c r="U41" s="42" t="s">
        <v>121</v>
      </c>
      <c r="V41" s="42">
        <v>1</v>
      </c>
      <c r="W41" s="42" t="s">
        <v>116</v>
      </c>
      <c r="X41" s="42">
        <v>18</v>
      </c>
      <c r="Y41" s="42" t="s">
        <v>117</v>
      </c>
      <c r="Z41" s="42">
        <v>809594.16799999995</v>
      </c>
      <c r="AA41" s="42">
        <v>7.78</v>
      </c>
      <c r="AB41" s="42" t="s">
        <v>36</v>
      </c>
      <c r="AC41" s="42">
        <v>1</v>
      </c>
      <c r="AD41" s="42">
        <v>1</v>
      </c>
      <c r="AE41" s="42">
        <v>6298642.6299999999</v>
      </c>
    </row>
    <row r="42" spans="1:31" x14ac:dyDescent="0.2">
      <c r="A42" s="42" t="s">
        <v>917</v>
      </c>
      <c r="B42" s="42">
        <v>1</v>
      </c>
      <c r="C42" s="42" t="s">
        <v>46</v>
      </c>
      <c r="D42" s="42">
        <v>3</v>
      </c>
      <c r="E42" s="42" t="s">
        <v>395</v>
      </c>
      <c r="F42" s="42" t="s">
        <v>146</v>
      </c>
      <c r="G42" s="42">
        <v>3079</v>
      </c>
      <c r="H42" s="42" t="s">
        <v>147</v>
      </c>
      <c r="I42" s="42">
        <v>4754214.62</v>
      </c>
      <c r="J42" s="42">
        <v>4754214.62</v>
      </c>
      <c r="K42" s="42" t="b">
        <v>0</v>
      </c>
      <c r="L42" s="42">
        <v>5</v>
      </c>
      <c r="M42" s="42" t="s">
        <v>108</v>
      </c>
      <c r="N42" s="42">
        <v>5</v>
      </c>
      <c r="O42" s="42" t="s">
        <v>143</v>
      </c>
      <c r="P42" s="42">
        <v>55</v>
      </c>
      <c r="Q42" s="42" t="s">
        <v>143</v>
      </c>
      <c r="R42" s="42" t="s">
        <v>114</v>
      </c>
      <c r="U42" s="42" t="s">
        <v>121</v>
      </c>
      <c r="V42" s="42">
        <v>1</v>
      </c>
      <c r="W42" s="42" t="s">
        <v>116</v>
      </c>
      <c r="X42" s="42">
        <v>18</v>
      </c>
      <c r="Y42" s="42" t="s">
        <v>117</v>
      </c>
      <c r="Z42" s="42">
        <v>4868627.3660000004</v>
      </c>
      <c r="AA42" s="42">
        <v>0.97650000000000003</v>
      </c>
      <c r="AB42" s="42" t="s">
        <v>36</v>
      </c>
      <c r="AC42" s="42">
        <v>1</v>
      </c>
      <c r="AD42" s="42">
        <v>1</v>
      </c>
      <c r="AE42" s="42">
        <v>4754214.62</v>
      </c>
    </row>
    <row r="43" spans="1:31" x14ac:dyDescent="0.2">
      <c r="A43" s="42" t="s">
        <v>917</v>
      </c>
      <c r="B43" s="42">
        <v>1</v>
      </c>
      <c r="C43" s="42" t="s">
        <v>46</v>
      </c>
      <c r="D43" s="42">
        <v>3</v>
      </c>
      <c r="E43" s="42" t="s">
        <v>395</v>
      </c>
      <c r="F43" s="42" t="s">
        <v>511</v>
      </c>
      <c r="G43" s="42">
        <v>3092</v>
      </c>
      <c r="H43" s="42" t="s">
        <v>512</v>
      </c>
      <c r="I43" s="42">
        <v>4966401.1100000003</v>
      </c>
      <c r="J43" s="42">
        <v>4972107.47</v>
      </c>
      <c r="K43" s="42" t="b">
        <v>0</v>
      </c>
      <c r="L43" s="42">
        <v>5</v>
      </c>
      <c r="M43" s="42" t="s">
        <v>108</v>
      </c>
      <c r="N43" s="42">
        <v>29</v>
      </c>
      <c r="O43" s="42" t="s">
        <v>142</v>
      </c>
      <c r="P43" s="42">
        <v>3</v>
      </c>
      <c r="Q43" s="42" t="s">
        <v>325</v>
      </c>
      <c r="R43" s="42" t="s">
        <v>114</v>
      </c>
      <c r="U43" s="42" t="s">
        <v>121</v>
      </c>
      <c r="V43" s="42">
        <v>1</v>
      </c>
      <c r="W43" s="42" t="s">
        <v>116</v>
      </c>
      <c r="X43" s="42">
        <v>18</v>
      </c>
      <c r="Y43" s="42" t="s">
        <v>117</v>
      </c>
      <c r="Z43" s="42">
        <v>1870936.5660000001</v>
      </c>
      <c r="AA43" s="42">
        <v>2.6575500000000001</v>
      </c>
      <c r="AB43" s="42" t="s">
        <v>36</v>
      </c>
      <c r="AC43" s="42">
        <v>1</v>
      </c>
      <c r="AD43" s="42">
        <v>1</v>
      </c>
      <c r="AE43" s="42">
        <v>4972107.47</v>
      </c>
    </row>
    <row r="44" spans="1:31" x14ac:dyDescent="0.2">
      <c r="A44" s="42" t="s">
        <v>917</v>
      </c>
      <c r="B44" s="42">
        <v>1</v>
      </c>
      <c r="C44" s="42" t="s">
        <v>46</v>
      </c>
      <c r="D44" s="42">
        <v>3</v>
      </c>
      <c r="E44" s="42" t="s">
        <v>395</v>
      </c>
      <c r="F44" s="42" t="s">
        <v>150</v>
      </c>
      <c r="G44" s="42">
        <v>3135</v>
      </c>
      <c r="H44" s="42" t="s">
        <v>151</v>
      </c>
      <c r="I44" s="42">
        <v>5907920.96</v>
      </c>
      <c r="J44" s="42">
        <v>5907920.96</v>
      </c>
      <c r="K44" s="42" t="b">
        <v>0</v>
      </c>
      <c r="L44" s="42">
        <v>5</v>
      </c>
      <c r="M44" s="42" t="s">
        <v>108</v>
      </c>
      <c r="N44" s="42">
        <v>4</v>
      </c>
      <c r="O44" s="42" t="s">
        <v>109</v>
      </c>
      <c r="P44" s="42">
        <v>6</v>
      </c>
      <c r="Q44" s="42" t="s">
        <v>109</v>
      </c>
      <c r="R44" s="42" t="s">
        <v>114</v>
      </c>
      <c r="U44" s="42" t="s">
        <v>121</v>
      </c>
      <c r="V44" s="42">
        <v>1</v>
      </c>
      <c r="W44" s="42" t="s">
        <v>116</v>
      </c>
      <c r="X44" s="42">
        <v>18</v>
      </c>
      <c r="Y44" s="42" t="s">
        <v>117</v>
      </c>
      <c r="Z44" s="42">
        <v>8157.3603999999996</v>
      </c>
      <c r="AA44" s="42">
        <v>724.24419999999998</v>
      </c>
      <c r="AB44" s="42" t="s">
        <v>36</v>
      </c>
      <c r="AC44" s="42">
        <v>1</v>
      </c>
      <c r="AD44" s="42">
        <v>1</v>
      </c>
      <c r="AE44" s="42">
        <v>5907920.96</v>
      </c>
    </row>
    <row r="45" spans="1:31" x14ac:dyDescent="0.2">
      <c r="A45" s="42" t="s">
        <v>917</v>
      </c>
      <c r="B45" s="42">
        <v>1</v>
      </c>
      <c r="C45" s="42" t="s">
        <v>46</v>
      </c>
      <c r="D45" s="42">
        <v>3</v>
      </c>
      <c r="E45" s="42" t="s">
        <v>395</v>
      </c>
      <c r="F45" s="42" t="s">
        <v>152</v>
      </c>
      <c r="G45" s="42">
        <v>3159</v>
      </c>
      <c r="H45" s="42" t="s">
        <v>153</v>
      </c>
      <c r="I45" s="42">
        <v>6912867.79</v>
      </c>
      <c r="J45" s="42">
        <v>6912867.79</v>
      </c>
      <c r="K45" s="42" t="b">
        <v>0</v>
      </c>
      <c r="L45" s="42">
        <v>5</v>
      </c>
      <c r="M45" s="42" t="s">
        <v>108</v>
      </c>
      <c r="N45" s="42">
        <v>28</v>
      </c>
      <c r="O45" s="42" t="s">
        <v>120</v>
      </c>
      <c r="P45" s="42">
        <v>9</v>
      </c>
      <c r="Q45" s="42" t="s">
        <v>320</v>
      </c>
      <c r="R45" s="42" t="s">
        <v>114</v>
      </c>
      <c r="U45" s="42" t="s">
        <v>121</v>
      </c>
      <c r="V45" s="42">
        <v>1</v>
      </c>
      <c r="W45" s="42" t="s">
        <v>116</v>
      </c>
      <c r="X45" s="42">
        <v>18</v>
      </c>
      <c r="Y45" s="42" t="s">
        <v>117</v>
      </c>
      <c r="Z45" s="42">
        <v>6546276.3200000003</v>
      </c>
      <c r="AA45" s="42">
        <v>1.056</v>
      </c>
      <c r="AB45" s="42" t="s">
        <v>36</v>
      </c>
      <c r="AC45" s="42">
        <v>1</v>
      </c>
      <c r="AD45" s="42">
        <v>1</v>
      </c>
      <c r="AE45" s="42">
        <v>6912867.79</v>
      </c>
    </row>
    <row r="46" spans="1:31" x14ac:dyDescent="0.2">
      <c r="A46" s="42" t="s">
        <v>917</v>
      </c>
      <c r="B46" s="42">
        <v>1</v>
      </c>
      <c r="C46" s="42" t="s">
        <v>46</v>
      </c>
      <c r="D46" s="42">
        <v>3</v>
      </c>
      <c r="E46" s="42" t="s">
        <v>395</v>
      </c>
      <c r="F46" s="42" t="s">
        <v>158</v>
      </c>
      <c r="G46" s="42">
        <v>4003</v>
      </c>
      <c r="H46" s="42" t="s">
        <v>159</v>
      </c>
      <c r="I46" s="42">
        <v>7045895.7199999997</v>
      </c>
      <c r="J46" s="42">
        <v>7045895.7199999997</v>
      </c>
      <c r="K46" s="42" t="b">
        <v>0</v>
      </c>
      <c r="L46" s="42">
        <v>5</v>
      </c>
      <c r="M46" s="42" t="s">
        <v>108</v>
      </c>
      <c r="N46" s="42">
        <v>2</v>
      </c>
      <c r="O46" s="42" t="s">
        <v>122</v>
      </c>
      <c r="P46" s="42">
        <v>1</v>
      </c>
      <c r="Q46" s="42" t="s">
        <v>326</v>
      </c>
      <c r="R46" s="42" t="s">
        <v>114</v>
      </c>
      <c r="U46" s="42" t="s">
        <v>121</v>
      </c>
      <c r="V46" s="42">
        <v>1</v>
      </c>
      <c r="W46" s="42" t="s">
        <v>116</v>
      </c>
      <c r="X46" s="42">
        <v>18</v>
      </c>
      <c r="Y46" s="42" t="s">
        <v>117</v>
      </c>
      <c r="Z46" s="42">
        <v>11879776.961999999</v>
      </c>
      <c r="AA46" s="42">
        <v>0.59309999999999996</v>
      </c>
      <c r="AB46" s="42" t="s">
        <v>36</v>
      </c>
      <c r="AC46" s="42">
        <v>1</v>
      </c>
      <c r="AD46" s="42">
        <v>1</v>
      </c>
      <c r="AE46" s="42">
        <v>7045895.7199999997</v>
      </c>
    </row>
    <row r="47" spans="1:31" x14ac:dyDescent="0.2">
      <c r="A47" s="42" t="s">
        <v>917</v>
      </c>
      <c r="B47" s="42">
        <v>1</v>
      </c>
      <c r="C47" s="42" t="s">
        <v>46</v>
      </c>
      <c r="D47" s="42">
        <v>3</v>
      </c>
      <c r="E47" s="42" t="s">
        <v>395</v>
      </c>
      <c r="F47" s="42" t="s">
        <v>513</v>
      </c>
      <c r="G47" s="42">
        <v>4233</v>
      </c>
      <c r="H47" s="42" t="s">
        <v>514</v>
      </c>
      <c r="I47" s="42">
        <v>5109836.1900000004</v>
      </c>
      <c r="J47" s="42">
        <v>5109836.1900000004</v>
      </c>
      <c r="K47" s="42" t="b">
        <v>0</v>
      </c>
      <c r="L47" s="42">
        <v>5</v>
      </c>
      <c r="M47" s="42" t="s">
        <v>108</v>
      </c>
      <c r="N47" s="42">
        <v>27</v>
      </c>
      <c r="O47" s="42" t="s">
        <v>129</v>
      </c>
      <c r="P47" s="42">
        <v>10</v>
      </c>
      <c r="Q47" s="42" t="s">
        <v>129</v>
      </c>
      <c r="R47" s="42" t="s">
        <v>114</v>
      </c>
      <c r="U47" s="42" t="s">
        <v>121</v>
      </c>
      <c r="V47" s="42">
        <v>1</v>
      </c>
      <c r="W47" s="42" t="s">
        <v>116</v>
      </c>
      <c r="X47" s="42">
        <v>18</v>
      </c>
      <c r="Y47" s="42" t="s">
        <v>117</v>
      </c>
      <c r="Z47" s="42">
        <v>5163536.97</v>
      </c>
      <c r="AA47" s="42">
        <v>0.98960000000000004</v>
      </c>
      <c r="AB47" s="42" t="s">
        <v>36</v>
      </c>
      <c r="AC47" s="42">
        <v>1</v>
      </c>
      <c r="AD47" s="42">
        <v>1</v>
      </c>
      <c r="AE47" s="42">
        <v>5109836.1900000004</v>
      </c>
    </row>
    <row r="48" spans="1:31" x14ac:dyDescent="0.2">
      <c r="A48" s="42" t="s">
        <v>917</v>
      </c>
      <c r="B48" s="42">
        <v>1</v>
      </c>
      <c r="C48" s="42" t="s">
        <v>46</v>
      </c>
      <c r="D48" s="42">
        <v>3</v>
      </c>
      <c r="E48" s="42" t="s">
        <v>395</v>
      </c>
      <c r="F48" s="42" t="s">
        <v>271</v>
      </c>
      <c r="G48" s="42">
        <v>6986</v>
      </c>
      <c r="H48" s="42" t="s">
        <v>318</v>
      </c>
      <c r="I48" s="42">
        <v>5210967.32</v>
      </c>
      <c r="J48" s="42">
        <v>5210967.32</v>
      </c>
      <c r="K48" s="42" t="b">
        <v>0</v>
      </c>
      <c r="L48" s="42">
        <v>5</v>
      </c>
      <c r="M48" s="42" t="s">
        <v>108</v>
      </c>
      <c r="N48" s="42">
        <v>4</v>
      </c>
      <c r="O48" s="42" t="s">
        <v>109</v>
      </c>
      <c r="P48" s="42">
        <v>26</v>
      </c>
      <c r="Q48" s="42" t="s">
        <v>327</v>
      </c>
      <c r="R48" s="42" t="s">
        <v>114</v>
      </c>
      <c r="U48" s="42" t="s">
        <v>121</v>
      </c>
      <c r="V48" s="42">
        <v>1</v>
      </c>
      <c r="W48" s="42" t="s">
        <v>116</v>
      </c>
      <c r="X48" s="42">
        <v>18</v>
      </c>
      <c r="Y48" s="42" t="s">
        <v>117</v>
      </c>
      <c r="Z48" s="42">
        <v>1828345.433</v>
      </c>
      <c r="AA48" s="42">
        <v>2.8500999999999999</v>
      </c>
      <c r="AB48" s="42" t="s">
        <v>36</v>
      </c>
      <c r="AC48" s="42">
        <v>1</v>
      </c>
      <c r="AD48" s="42">
        <v>1</v>
      </c>
      <c r="AE48" s="42">
        <v>5210967.32</v>
      </c>
    </row>
    <row r="49" spans="1:31" x14ac:dyDescent="0.2">
      <c r="A49" s="42" t="s">
        <v>917</v>
      </c>
      <c r="B49" s="42">
        <v>1</v>
      </c>
      <c r="C49" s="42" t="s">
        <v>46</v>
      </c>
      <c r="D49" s="42">
        <v>3</v>
      </c>
      <c r="E49" s="42" t="s">
        <v>395</v>
      </c>
      <c r="F49" s="42" t="s">
        <v>515</v>
      </c>
      <c r="G49" s="42">
        <v>9234</v>
      </c>
      <c r="H49" s="42" t="s">
        <v>516</v>
      </c>
      <c r="I49" s="42">
        <v>6227811.4900000002</v>
      </c>
      <c r="J49" s="42">
        <v>6246800.5</v>
      </c>
      <c r="K49" s="42" t="b">
        <v>0</v>
      </c>
      <c r="L49" s="42">
        <v>5</v>
      </c>
      <c r="M49" s="42" t="s">
        <v>108</v>
      </c>
      <c r="N49" s="42">
        <v>2</v>
      </c>
      <c r="O49" s="42" t="s">
        <v>122</v>
      </c>
      <c r="P49" s="42">
        <v>1</v>
      </c>
      <c r="Q49" s="42" t="s">
        <v>326</v>
      </c>
      <c r="R49" s="42" t="s">
        <v>114</v>
      </c>
      <c r="U49" s="42" t="s">
        <v>121</v>
      </c>
      <c r="V49" s="42">
        <v>1</v>
      </c>
      <c r="W49" s="42" t="s">
        <v>116</v>
      </c>
      <c r="X49" s="42">
        <v>18</v>
      </c>
      <c r="Y49" s="42" t="s">
        <v>117</v>
      </c>
      <c r="Z49" s="42">
        <v>66348.743000000002</v>
      </c>
      <c r="AA49" s="42">
        <v>94.150999999999996</v>
      </c>
      <c r="AB49" s="42" t="s">
        <v>36</v>
      </c>
      <c r="AC49" s="42">
        <v>1</v>
      </c>
      <c r="AD49" s="42">
        <v>1</v>
      </c>
      <c r="AE49" s="42">
        <v>6246800.5</v>
      </c>
    </row>
    <row r="50" spans="1:31" x14ac:dyDescent="0.2">
      <c r="A50" s="42" t="s">
        <v>917</v>
      </c>
      <c r="B50" s="42">
        <v>1</v>
      </c>
      <c r="C50" s="42" t="s">
        <v>46</v>
      </c>
      <c r="D50" s="42">
        <v>3</v>
      </c>
      <c r="E50" s="42" t="s">
        <v>395</v>
      </c>
      <c r="F50" s="42" t="s">
        <v>292</v>
      </c>
      <c r="G50" s="42">
        <v>9306</v>
      </c>
      <c r="H50" s="42" t="s">
        <v>293</v>
      </c>
      <c r="I50" s="42">
        <v>5364880.32</v>
      </c>
      <c r="J50" s="42">
        <v>5364880.32</v>
      </c>
      <c r="K50" s="42" t="b">
        <v>0</v>
      </c>
      <c r="L50" s="42">
        <v>5</v>
      </c>
      <c r="M50" s="42" t="s">
        <v>108</v>
      </c>
      <c r="N50" s="42">
        <v>27</v>
      </c>
      <c r="O50" s="42" t="s">
        <v>129</v>
      </c>
      <c r="P50" s="42">
        <v>10</v>
      </c>
      <c r="Q50" s="42" t="s">
        <v>129</v>
      </c>
      <c r="R50" s="42" t="s">
        <v>114</v>
      </c>
      <c r="U50" s="42" t="s">
        <v>121</v>
      </c>
      <c r="V50" s="42">
        <v>1</v>
      </c>
      <c r="W50" s="42" t="s">
        <v>116</v>
      </c>
      <c r="X50" s="42">
        <v>18</v>
      </c>
      <c r="Y50" s="42" t="s">
        <v>117</v>
      </c>
      <c r="Z50" s="42">
        <v>2022575.0490000001</v>
      </c>
      <c r="AA50" s="42">
        <v>2.6524999999999999</v>
      </c>
      <c r="AB50" s="42" t="s">
        <v>36</v>
      </c>
      <c r="AC50" s="42">
        <v>1</v>
      </c>
      <c r="AD50" s="42">
        <v>1</v>
      </c>
      <c r="AE50" s="42">
        <v>5364880.32</v>
      </c>
    </row>
    <row r="51" spans="1:31" x14ac:dyDescent="0.2">
      <c r="A51" s="42" t="s">
        <v>917</v>
      </c>
      <c r="B51" s="42">
        <v>1</v>
      </c>
      <c r="C51" s="42" t="s">
        <v>46</v>
      </c>
      <c r="D51" s="42">
        <v>3</v>
      </c>
      <c r="E51" s="42" t="s">
        <v>395</v>
      </c>
      <c r="F51" s="42" t="s">
        <v>362</v>
      </c>
      <c r="G51" s="42">
        <v>10019</v>
      </c>
      <c r="H51" s="42" t="s">
        <v>363</v>
      </c>
      <c r="I51" s="42">
        <v>5836719.5099999998</v>
      </c>
      <c r="J51" s="42">
        <v>5837138.9400000004</v>
      </c>
      <c r="K51" s="42" t="b">
        <v>1</v>
      </c>
      <c r="L51" s="42">
        <v>5</v>
      </c>
      <c r="M51" s="42" t="s">
        <v>108</v>
      </c>
      <c r="N51" s="42">
        <v>4</v>
      </c>
      <c r="O51" s="42" t="s">
        <v>109</v>
      </c>
      <c r="P51" s="42">
        <v>6</v>
      </c>
      <c r="Q51" s="42" t="s">
        <v>109</v>
      </c>
      <c r="R51" s="42" t="s">
        <v>243</v>
      </c>
      <c r="S51" s="42">
        <v>1</v>
      </c>
      <c r="T51" s="42" t="s">
        <v>205</v>
      </c>
      <c r="U51" s="42" t="s">
        <v>115</v>
      </c>
      <c r="V51" s="42">
        <v>1</v>
      </c>
      <c r="W51" s="42" t="s">
        <v>116</v>
      </c>
      <c r="X51" s="42">
        <v>22</v>
      </c>
      <c r="Y51" s="42" t="s">
        <v>217</v>
      </c>
      <c r="Z51" s="42">
        <v>96300</v>
      </c>
      <c r="AA51" s="42">
        <v>69.584999999999994</v>
      </c>
      <c r="AB51" s="42" t="s">
        <v>34</v>
      </c>
      <c r="AC51" s="42">
        <v>1.1479999999999999</v>
      </c>
      <c r="AD51" s="42">
        <v>1</v>
      </c>
      <c r="AE51" s="42">
        <v>5837138.9400000004</v>
      </c>
    </row>
    <row r="52" spans="1:31" x14ac:dyDescent="0.2">
      <c r="A52" s="42" t="s">
        <v>917</v>
      </c>
      <c r="B52" s="42">
        <v>1</v>
      </c>
      <c r="C52" s="42" t="s">
        <v>46</v>
      </c>
      <c r="D52" s="42">
        <v>3</v>
      </c>
      <c r="E52" s="42" t="s">
        <v>395</v>
      </c>
      <c r="F52" s="42" t="s">
        <v>460</v>
      </c>
      <c r="G52" s="42">
        <v>12041</v>
      </c>
      <c r="H52" s="42" t="s">
        <v>461</v>
      </c>
      <c r="I52" s="42">
        <v>5000000</v>
      </c>
      <c r="J52" s="42">
        <v>5000000</v>
      </c>
      <c r="K52" s="42" t="b">
        <v>0</v>
      </c>
      <c r="L52" s="42">
        <v>5</v>
      </c>
      <c r="M52" s="42" t="s">
        <v>108</v>
      </c>
      <c r="N52" s="42">
        <v>5</v>
      </c>
      <c r="O52" s="42" t="s">
        <v>143</v>
      </c>
      <c r="P52" s="42">
        <v>55</v>
      </c>
      <c r="Q52" s="42" t="s">
        <v>143</v>
      </c>
      <c r="R52" s="42" t="s">
        <v>114</v>
      </c>
      <c r="U52" s="42" t="s">
        <v>121</v>
      </c>
      <c r="V52" s="42">
        <v>1</v>
      </c>
      <c r="W52" s="42" t="s">
        <v>116</v>
      </c>
      <c r="X52" s="42">
        <v>18</v>
      </c>
      <c r="Y52" s="42" t="s">
        <v>117</v>
      </c>
      <c r="Z52" s="42">
        <v>2453024.5789999999</v>
      </c>
      <c r="AA52" s="42">
        <v>2.0383</v>
      </c>
      <c r="AB52" s="42" t="s">
        <v>36</v>
      </c>
      <c r="AC52" s="42">
        <v>1</v>
      </c>
      <c r="AD52" s="42">
        <v>1</v>
      </c>
      <c r="AE52" s="42">
        <v>5000000</v>
      </c>
    </row>
    <row r="53" spans="1:31" x14ac:dyDescent="0.2">
      <c r="A53" s="42" t="s">
        <v>917</v>
      </c>
      <c r="B53" s="42">
        <v>1</v>
      </c>
      <c r="C53" s="42" t="s">
        <v>49</v>
      </c>
      <c r="D53" s="42">
        <v>4</v>
      </c>
      <c r="E53" s="42" t="s">
        <v>401</v>
      </c>
      <c r="F53" s="42" t="s">
        <v>517</v>
      </c>
      <c r="G53" s="42">
        <v>2522</v>
      </c>
      <c r="H53" s="42" t="s">
        <v>518</v>
      </c>
      <c r="I53" s="42">
        <v>4900778.8899999997</v>
      </c>
      <c r="J53" s="42">
        <v>4900778.8899999997</v>
      </c>
      <c r="K53" s="42" t="b">
        <v>0</v>
      </c>
      <c r="L53" s="42">
        <v>5</v>
      </c>
      <c r="M53" s="42" t="s">
        <v>108</v>
      </c>
      <c r="N53" s="42">
        <v>28</v>
      </c>
      <c r="O53" s="42" t="s">
        <v>120</v>
      </c>
      <c r="P53" s="42">
        <v>9</v>
      </c>
      <c r="Q53" s="42" t="s">
        <v>320</v>
      </c>
      <c r="R53" s="42" t="s">
        <v>114</v>
      </c>
      <c r="U53" s="42" t="s">
        <v>121</v>
      </c>
      <c r="V53" s="42">
        <v>1</v>
      </c>
      <c r="W53" s="42" t="s">
        <v>116</v>
      </c>
      <c r="X53" s="42">
        <v>18</v>
      </c>
      <c r="Y53" s="42" t="s">
        <v>117</v>
      </c>
      <c r="Z53" s="42">
        <v>508221.39299999998</v>
      </c>
      <c r="AA53" s="42">
        <v>9.6430000000000007</v>
      </c>
      <c r="AB53" s="42" t="s">
        <v>36</v>
      </c>
      <c r="AC53" s="42">
        <v>1</v>
      </c>
      <c r="AD53" s="42">
        <v>1</v>
      </c>
      <c r="AE53" s="42">
        <v>4900778.8899999997</v>
      </c>
    </row>
    <row r="54" spans="1:31" x14ac:dyDescent="0.2">
      <c r="A54" s="42" t="s">
        <v>917</v>
      </c>
      <c r="B54" s="42">
        <v>1</v>
      </c>
      <c r="C54" s="42" t="s">
        <v>49</v>
      </c>
      <c r="D54" s="42">
        <v>4</v>
      </c>
      <c r="E54" s="42" t="s">
        <v>401</v>
      </c>
      <c r="F54" s="42" t="s">
        <v>123</v>
      </c>
      <c r="G54" s="42">
        <v>2529</v>
      </c>
      <c r="H54" s="42" t="s">
        <v>124</v>
      </c>
      <c r="I54" s="42">
        <v>2493121.94</v>
      </c>
      <c r="J54" s="42">
        <v>2493121.94</v>
      </c>
      <c r="K54" s="42" t="b">
        <v>0</v>
      </c>
      <c r="L54" s="42">
        <v>5</v>
      </c>
      <c r="M54" s="42" t="s">
        <v>108</v>
      </c>
      <c r="N54" s="42">
        <v>2</v>
      </c>
      <c r="O54" s="42" t="s">
        <v>122</v>
      </c>
      <c r="P54" s="42">
        <v>1</v>
      </c>
      <c r="Q54" s="42" t="s">
        <v>326</v>
      </c>
      <c r="R54" s="42" t="s">
        <v>114</v>
      </c>
      <c r="U54" s="42" t="s">
        <v>121</v>
      </c>
      <c r="V54" s="42">
        <v>1</v>
      </c>
      <c r="W54" s="42" t="s">
        <v>116</v>
      </c>
      <c r="X54" s="42">
        <v>18</v>
      </c>
      <c r="Y54" s="42" t="s">
        <v>117</v>
      </c>
      <c r="Z54" s="42">
        <v>10054.617899999999</v>
      </c>
      <c r="AA54" s="42">
        <v>247.9579</v>
      </c>
      <c r="AB54" s="42" t="s">
        <v>36</v>
      </c>
      <c r="AC54" s="42">
        <v>1</v>
      </c>
      <c r="AD54" s="42">
        <v>1</v>
      </c>
      <c r="AE54" s="42">
        <v>2493121.94</v>
      </c>
    </row>
    <row r="55" spans="1:31" x14ac:dyDescent="0.2">
      <c r="A55" s="42" t="s">
        <v>917</v>
      </c>
      <c r="B55" s="42">
        <v>1</v>
      </c>
      <c r="C55" s="42" t="s">
        <v>49</v>
      </c>
      <c r="D55" s="42">
        <v>4</v>
      </c>
      <c r="E55" s="42" t="s">
        <v>401</v>
      </c>
      <c r="F55" s="42" t="s">
        <v>130</v>
      </c>
      <c r="G55" s="42">
        <v>2643</v>
      </c>
      <c r="H55" s="42" t="s">
        <v>131</v>
      </c>
      <c r="I55" s="42">
        <v>5002178.24</v>
      </c>
      <c r="J55" s="42">
        <v>5002178.24</v>
      </c>
      <c r="K55" s="42" t="b">
        <v>0</v>
      </c>
      <c r="L55" s="42">
        <v>5</v>
      </c>
      <c r="M55" s="42" t="s">
        <v>108</v>
      </c>
      <c r="N55" s="42">
        <v>28</v>
      </c>
      <c r="O55" s="42" t="s">
        <v>120</v>
      </c>
      <c r="P55" s="42">
        <v>9</v>
      </c>
      <c r="Q55" s="42" t="s">
        <v>320</v>
      </c>
      <c r="R55" s="42" t="s">
        <v>114</v>
      </c>
      <c r="U55" s="42" t="s">
        <v>121</v>
      </c>
      <c r="V55" s="42">
        <v>1</v>
      </c>
      <c r="W55" s="42" t="s">
        <v>116</v>
      </c>
      <c r="X55" s="42">
        <v>18</v>
      </c>
      <c r="Y55" s="42" t="s">
        <v>117</v>
      </c>
      <c r="Z55" s="42">
        <v>242001.85</v>
      </c>
      <c r="AA55" s="42">
        <v>20.67</v>
      </c>
      <c r="AB55" s="42" t="s">
        <v>36</v>
      </c>
      <c r="AC55" s="42">
        <v>1</v>
      </c>
      <c r="AD55" s="42">
        <v>1</v>
      </c>
      <c r="AE55" s="42">
        <v>5002178.24</v>
      </c>
    </row>
    <row r="56" spans="1:31" x14ac:dyDescent="0.2">
      <c r="A56" s="42" t="s">
        <v>917</v>
      </c>
      <c r="B56" s="42">
        <v>1</v>
      </c>
      <c r="C56" s="42" t="s">
        <v>49</v>
      </c>
      <c r="D56" s="42">
        <v>4</v>
      </c>
      <c r="E56" s="42" t="s">
        <v>401</v>
      </c>
      <c r="F56" s="42" t="s">
        <v>519</v>
      </c>
      <c r="G56" s="42">
        <v>2864</v>
      </c>
      <c r="H56" s="42" t="s">
        <v>520</v>
      </c>
      <c r="I56" s="42">
        <v>2727340.94</v>
      </c>
      <c r="J56" s="42">
        <v>2727340.94</v>
      </c>
      <c r="K56" s="42" t="b">
        <v>0</v>
      </c>
      <c r="L56" s="42">
        <v>5</v>
      </c>
      <c r="M56" s="42" t="s">
        <v>108</v>
      </c>
      <c r="N56" s="42">
        <v>2</v>
      </c>
      <c r="O56" s="42" t="s">
        <v>122</v>
      </c>
      <c r="P56" s="42">
        <v>1</v>
      </c>
      <c r="Q56" s="42" t="s">
        <v>326</v>
      </c>
      <c r="R56" s="42" t="s">
        <v>114</v>
      </c>
      <c r="U56" s="42" t="s">
        <v>121</v>
      </c>
      <c r="V56" s="42">
        <v>1</v>
      </c>
      <c r="W56" s="42" t="s">
        <v>116</v>
      </c>
      <c r="X56" s="42">
        <v>18</v>
      </c>
      <c r="Y56" s="42" t="s">
        <v>117</v>
      </c>
      <c r="Z56" s="42">
        <v>720565.63899999997</v>
      </c>
      <c r="AA56" s="42">
        <v>3.7850000000000001</v>
      </c>
      <c r="AB56" s="42" t="s">
        <v>36</v>
      </c>
      <c r="AC56" s="42">
        <v>1</v>
      </c>
      <c r="AD56" s="42">
        <v>1</v>
      </c>
      <c r="AE56" s="42">
        <v>2727340.94</v>
      </c>
    </row>
    <row r="57" spans="1:31" x14ac:dyDescent="0.2">
      <c r="A57" s="42" t="s">
        <v>917</v>
      </c>
      <c r="B57" s="42">
        <v>1</v>
      </c>
      <c r="C57" s="42" t="s">
        <v>49</v>
      </c>
      <c r="D57" s="42">
        <v>4</v>
      </c>
      <c r="E57" s="42" t="s">
        <v>401</v>
      </c>
      <c r="F57" s="42" t="s">
        <v>194</v>
      </c>
      <c r="G57" s="42">
        <v>2906</v>
      </c>
      <c r="H57" s="42" t="s">
        <v>364</v>
      </c>
      <c r="I57" s="42">
        <v>3978257.95</v>
      </c>
      <c r="J57" s="42">
        <v>3978257.95</v>
      </c>
      <c r="K57" s="42" t="b">
        <v>0</v>
      </c>
      <c r="L57" s="42">
        <v>5</v>
      </c>
      <c r="M57" s="42" t="s">
        <v>108</v>
      </c>
      <c r="N57" s="42">
        <v>28</v>
      </c>
      <c r="O57" s="42" t="s">
        <v>120</v>
      </c>
      <c r="P57" s="42">
        <v>9</v>
      </c>
      <c r="Q57" s="42" t="s">
        <v>320</v>
      </c>
      <c r="R57" s="42" t="s">
        <v>114</v>
      </c>
      <c r="U57" s="42" t="s">
        <v>121</v>
      </c>
      <c r="V57" s="42">
        <v>1</v>
      </c>
      <c r="W57" s="42" t="s">
        <v>116</v>
      </c>
      <c r="X57" s="42">
        <v>18</v>
      </c>
      <c r="Y57" s="42" t="s">
        <v>117</v>
      </c>
      <c r="Z57" s="42">
        <v>371452.65600000002</v>
      </c>
      <c r="AA57" s="42">
        <v>10.71</v>
      </c>
      <c r="AB57" s="42" t="s">
        <v>36</v>
      </c>
      <c r="AC57" s="42">
        <v>1</v>
      </c>
      <c r="AD57" s="42">
        <v>1</v>
      </c>
      <c r="AE57" s="42">
        <v>3978257.95</v>
      </c>
    </row>
    <row r="58" spans="1:31" x14ac:dyDescent="0.2">
      <c r="A58" s="42" t="s">
        <v>917</v>
      </c>
      <c r="B58" s="42">
        <v>1</v>
      </c>
      <c r="C58" s="42" t="s">
        <v>49</v>
      </c>
      <c r="D58" s="42">
        <v>4</v>
      </c>
      <c r="E58" s="42" t="s">
        <v>401</v>
      </c>
      <c r="F58" s="42" t="s">
        <v>521</v>
      </c>
      <c r="G58" s="42">
        <v>2994</v>
      </c>
      <c r="H58" s="42" t="s">
        <v>522</v>
      </c>
      <c r="I58" s="42">
        <v>4410255.8</v>
      </c>
      <c r="J58" s="42">
        <v>4410255.8</v>
      </c>
      <c r="K58" s="42" t="b">
        <v>0</v>
      </c>
      <c r="L58" s="42">
        <v>5</v>
      </c>
      <c r="M58" s="42" t="s">
        <v>108</v>
      </c>
      <c r="N58" s="42">
        <v>5</v>
      </c>
      <c r="O58" s="42" t="s">
        <v>143</v>
      </c>
      <c r="P58" s="42">
        <v>55</v>
      </c>
      <c r="Q58" s="42" t="s">
        <v>143</v>
      </c>
      <c r="R58" s="42" t="s">
        <v>114</v>
      </c>
      <c r="U58" s="42" t="s">
        <v>121</v>
      </c>
      <c r="V58" s="42">
        <v>1</v>
      </c>
      <c r="W58" s="42" t="s">
        <v>116</v>
      </c>
      <c r="X58" s="42">
        <v>18</v>
      </c>
      <c r="Y58" s="42" t="s">
        <v>117</v>
      </c>
      <c r="Z58" s="42">
        <v>2834354.63</v>
      </c>
      <c r="AA58" s="42">
        <v>1.556</v>
      </c>
      <c r="AB58" s="42" t="s">
        <v>36</v>
      </c>
      <c r="AC58" s="42">
        <v>1</v>
      </c>
      <c r="AD58" s="42">
        <v>1</v>
      </c>
      <c r="AE58" s="42">
        <v>4410255.8</v>
      </c>
    </row>
    <row r="59" spans="1:31" x14ac:dyDescent="0.2">
      <c r="A59" s="42" t="s">
        <v>917</v>
      </c>
      <c r="B59" s="42">
        <v>1</v>
      </c>
      <c r="C59" s="42" t="s">
        <v>49</v>
      </c>
      <c r="D59" s="42">
        <v>4</v>
      </c>
      <c r="E59" s="42" t="s">
        <v>401</v>
      </c>
      <c r="F59" s="42" t="s">
        <v>144</v>
      </c>
      <c r="G59" s="42">
        <v>3027</v>
      </c>
      <c r="H59" s="42" t="s">
        <v>145</v>
      </c>
      <c r="I59" s="42">
        <v>4922817.1100000003</v>
      </c>
      <c r="J59" s="42">
        <v>4922817.1100000003</v>
      </c>
      <c r="K59" s="42" t="b">
        <v>0</v>
      </c>
      <c r="L59" s="42">
        <v>5</v>
      </c>
      <c r="M59" s="42" t="s">
        <v>108</v>
      </c>
      <c r="N59" s="42">
        <v>5</v>
      </c>
      <c r="O59" s="42" t="s">
        <v>143</v>
      </c>
      <c r="P59" s="42">
        <v>55</v>
      </c>
      <c r="Q59" s="42" t="s">
        <v>143</v>
      </c>
      <c r="R59" s="42" t="s">
        <v>114</v>
      </c>
      <c r="U59" s="42" t="s">
        <v>121</v>
      </c>
      <c r="V59" s="42">
        <v>1</v>
      </c>
      <c r="W59" s="42" t="s">
        <v>116</v>
      </c>
      <c r="X59" s="42">
        <v>18</v>
      </c>
      <c r="Y59" s="42" t="s">
        <v>117</v>
      </c>
      <c r="Z59" s="42">
        <v>5081355.4029999999</v>
      </c>
      <c r="AA59" s="42">
        <v>0.96879999999999999</v>
      </c>
      <c r="AB59" s="42" t="s">
        <v>36</v>
      </c>
      <c r="AC59" s="42">
        <v>1</v>
      </c>
      <c r="AD59" s="42">
        <v>1</v>
      </c>
      <c r="AE59" s="42">
        <v>4922817.1100000003</v>
      </c>
    </row>
    <row r="60" spans="1:31" x14ac:dyDescent="0.2">
      <c r="A60" s="42" t="s">
        <v>917</v>
      </c>
      <c r="B60" s="42">
        <v>1</v>
      </c>
      <c r="C60" s="42" t="s">
        <v>49</v>
      </c>
      <c r="D60" s="42">
        <v>4</v>
      </c>
      <c r="E60" s="42" t="s">
        <v>401</v>
      </c>
      <c r="F60" s="42" t="s">
        <v>148</v>
      </c>
      <c r="G60" s="42">
        <v>3095</v>
      </c>
      <c r="H60" s="42" t="s">
        <v>149</v>
      </c>
      <c r="I60" s="42">
        <v>4918787.0199999996</v>
      </c>
      <c r="J60" s="42">
        <v>4918787.0199999996</v>
      </c>
      <c r="K60" s="42" t="b">
        <v>0</v>
      </c>
      <c r="L60" s="42">
        <v>5</v>
      </c>
      <c r="M60" s="42" t="s">
        <v>108</v>
      </c>
      <c r="N60" s="42">
        <v>28</v>
      </c>
      <c r="O60" s="42" t="s">
        <v>120</v>
      </c>
      <c r="P60" s="42">
        <v>9</v>
      </c>
      <c r="Q60" s="42" t="s">
        <v>320</v>
      </c>
      <c r="R60" s="42" t="s">
        <v>114</v>
      </c>
      <c r="U60" s="42" t="s">
        <v>121</v>
      </c>
      <c r="V60" s="42">
        <v>1</v>
      </c>
      <c r="W60" s="42" t="s">
        <v>116</v>
      </c>
      <c r="X60" s="42">
        <v>18</v>
      </c>
      <c r="Y60" s="42" t="s">
        <v>117</v>
      </c>
      <c r="Z60" s="42">
        <v>334383.89</v>
      </c>
      <c r="AA60" s="42">
        <v>14.71</v>
      </c>
      <c r="AB60" s="42" t="s">
        <v>36</v>
      </c>
      <c r="AC60" s="42">
        <v>1</v>
      </c>
      <c r="AD60" s="42">
        <v>1</v>
      </c>
      <c r="AE60" s="42">
        <v>4918787.0199999996</v>
      </c>
    </row>
    <row r="61" spans="1:31" x14ac:dyDescent="0.2">
      <c r="A61" s="42" t="s">
        <v>917</v>
      </c>
      <c r="B61" s="42">
        <v>1</v>
      </c>
      <c r="C61" s="42" t="s">
        <v>49</v>
      </c>
      <c r="D61" s="42">
        <v>4</v>
      </c>
      <c r="E61" s="42" t="s">
        <v>401</v>
      </c>
      <c r="F61" s="42" t="s">
        <v>152</v>
      </c>
      <c r="G61" s="42">
        <v>3159</v>
      </c>
      <c r="H61" s="42" t="s">
        <v>153</v>
      </c>
      <c r="I61" s="42">
        <v>4686085.57</v>
      </c>
      <c r="J61" s="42">
        <v>4686085.57</v>
      </c>
      <c r="K61" s="42" t="b">
        <v>0</v>
      </c>
      <c r="L61" s="42">
        <v>5</v>
      </c>
      <c r="M61" s="42" t="s">
        <v>108</v>
      </c>
      <c r="N61" s="42">
        <v>28</v>
      </c>
      <c r="O61" s="42" t="s">
        <v>120</v>
      </c>
      <c r="P61" s="42">
        <v>9</v>
      </c>
      <c r="Q61" s="42" t="s">
        <v>320</v>
      </c>
      <c r="R61" s="42" t="s">
        <v>114</v>
      </c>
      <c r="U61" s="42" t="s">
        <v>121</v>
      </c>
      <c r="V61" s="42">
        <v>1</v>
      </c>
      <c r="W61" s="42" t="s">
        <v>116</v>
      </c>
      <c r="X61" s="42">
        <v>18</v>
      </c>
      <c r="Y61" s="42" t="s">
        <v>117</v>
      </c>
      <c r="Z61" s="42">
        <v>4437581.03</v>
      </c>
      <c r="AA61" s="42">
        <v>1.056</v>
      </c>
      <c r="AB61" s="42" t="s">
        <v>36</v>
      </c>
      <c r="AC61" s="42">
        <v>1</v>
      </c>
      <c r="AD61" s="42">
        <v>1</v>
      </c>
      <c r="AE61" s="42">
        <v>4686085.57</v>
      </c>
    </row>
    <row r="62" spans="1:31" x14ac:dyDescent="0.2">
      <c r="A62" s="42" t="s">
        <v>917</v>
      </c>
      <c r="B62" s="42">
        <v>1</v>
      </c>
      <c r="C62" s="42" t="s">
        <v>49</v>
      </c>
      <c r="D62" s="42">
        <v>4</v>
      </c>
      <c r="E62" s="42" t="s">
        <v>401</v>
      </c>
      <c r="F62" s="42" t="s">
        <v>523</v>
      </c>
      <c r="G62" s="42">
        <v>3305</v>
      </c>
      <c r="H62" s="42" t="s">
        <v>524</v>
      </c>
      <c r="I62" s="42">
        <v>1246300</v>
      </c>
      <c r="J62" s="42">
        <v>1246542</v>
      </c>
      <c r="K62" s="42" t="b">
        <v>1</v>
      </c>
      <c r="L62" s="42">
        <v>5</v>
      </c>
      <c r="M62" s="42" t="s">
        <v>108</v>
      </c>
      <c r="N62" s="42">
        <v>5</v>
      </c>
      <c r="O62" s="42" t="s">
        <v>143</v>
      </c>
      <c r="P62" s="42">
        <v>55</v>
      </c>
      <c r="Q62" s="42" t="s">
        <v>143</v>
      </c>
      <c r="R62" s="42" t="s">
        <v>204</v>
      </c>
      <c r="S62" s="42">
        <v>1</v>
      </c>
      <c r="T62" s="42" t="s">
        <v>205</v>
      </c>
      <c r="U62" s="42" t="s">
        <v>115</v>
      </c>
      <c r="V62" s="42">
        <v>1</v>
      </c>
      <c r="W62" s="42" t="s">
        <v>116</v>
      </c>
      <c r="X62" s="42">
        <v>22</v>
      </c>
      <c r="Y62" s="42" t="s">
        <v>217</v>
      </c>
      <c r="Z62" s="42">
        <v>96800</v>
      </c>
      <c r="AA62" s="42">
        <v>12.8775</v>
      </c>
      <c r="AB62" s="42" t="s">
        <v>36</v>
      </c>
      <c r="AC62" s="42">
        <v>1</v>
      </c>
      <c r="AD62" s="42">
        <v>1</v>
      </c>
      <c r="AE62" s="42">
        <v>1246542</v>
      </c>
    </row>
    <row r="63" spans="1:31" x14ac:dyDescent="0.2">
      <c r="A63" s="42" t="s">
        <v>917</v>
      </c>
      <c r="B63" s="42">
        <v>1</v>
      </c>
      <c r="C63" s="42" t="s">
        <v>49</v>
      </c>
      <c r="D63" s="42">
        <v>4</v>
      </c>
      <c r="E63" s="42" t="s">
        <v>401</v>
      </c>
      <c r="F63" s="42" t="s">
        <v>158</v>
      </c>
      <c r="G63" s="42">
        <v>4003</v>
      </c>
      <c r="H63" s="42" t="s">
        <v>159</v>
      </c>
      <c r="I63" s="42">
        <v>3145994.95</v>
      </c>
      <c r="J63" s="42">
        <v>3145994.95</v>
      </c>
      <c r="K63" s="42" t="b">
        <v>0</v>
      </c>
      <c r="L63" s="42">
        <v>5</v>
      </c>
      <c r="M63" s="42" t="s">
        <v>108</v>
      </c>
      <c r="N63" s="42">
        <v>2</v>
      </c>
      <c r="O63" s="42" t="s">
        <v>122</v>
      </c>
      <c r="P63" s="42">
        <v>1</v>
      </c>
      <c r="Q63" s="42" t="s">
        <v>326</v>
      </c>
      <c r="R63" s="42" t="s">
        <v>114</v>
      </c>
      <c r="U63" s="42" t="s">
        <v>121</v>
      </c>
      <c r="V63" s="42">
        <v>1</v>
      </c>
      <c r="W63" s="42" t="s">
        <v>116</v>
      </c>
      <c r="X63" s="42">
        <v>18</v>
      </c>
      <c r="Y63" s="42" t="s">
        <v>117</v>
      </c>
      <c r="Z63" s="42">
        <v>5304324.6500000004</v>
      </c>
      <c r="AA63" s="42">
        <v>0.59309999999999996</v>
      </c>
      <c r="AB63" s="42" t="s">
        <v>36</v>
      </c>
      <c r="AC63" s="42">
        <v>1</v>
      </c>
      <c r="AD63" s="42">
        <v>1</v>
      </c>
      <c r="AE63" s="42">
        <v>3145994.95</v>
      </c>
    </row>
    <row r="64" spans="1:31" x14ac:dyDescent="0.2">
      <c r="A64" s="42" t="s">
        <v>917</v>
      </c>
      <c r="B64" s="42">
        <v>1</v>
      </c>
      <c r="C64" s="42" t="s">
        <v>49</v>
      </c>
      <c r="D64" s="42">
        <v>4</v>
      </c>
      <c r="E64" s="42" t="s">
        <v>401</v>
      </c>
      <c r="F64" s="42" t="s">
        <v>513</v>
      </c>
      <c r="G64" s="42">
        <v>4233</v>
      </c>
      <c r="H64" s="42" t="s">
        <v>514</v>
      </c>
      <c r="I64" s="42">
        <v>2360833.9500000002</v>
      </c>
      <c r="J64" s="42">
        <v>2360833.9500000002</v>
      </c>
      <c r="K64" s="42" t="b">
        <v>0</v>
      </c>
      <c r="L64" s="42">
        <v>5</v>
      </c>
      <c r="M64" s="42" t="s">
        <v>108</v>
      </c>
      <c r="N64" s="42">
        <v>27</v>
      </c>
      <c r="O64" s="42" t="s">
        <v>129</v>
      </c>
      <c r="P64" s="42">
        <v>10</v>
      </c>
      <c r="Q64" s="42" t="s">
        <v>129</v>
      </c>
      <c r="R64" s="42" t="s">
        <v>114</v>
      </c>
      <c r="U64" s="42" t="s">
        <v>121</v>
      </c>
      <c r="V64" s="42">
        <v>1</v>
      </c>
      <c r="W64" s="42" t="s">
        <v>116</v>
      </c>
      <c r="X64" s="42">
        <v>18</v>
      </c>
      <c r="Y64" s="42" t="s">
        <v>117</v>
      </c>
      <c r="Z64" s="42">
        <v>2385644.65</v>
      </c>
      <c r="AA64" s="42">
        <v>0.98960000000000004</v>
      </c>
      <c r="AB64" s="42" t="s">
        <v>36</v>
      </c>
      <c r="AC64" s="42">
        <v>1</v>
      </c>
      <c r="AD64" s="42">
        <v>1</v>
      </c>
      <c r="AE64" s="42">
        <v>2360833.9500000002</v>
      </c>
    </row>
    <row r="65" spans="1:31" x14ac:dyDescent="0.2">
      <c r="A65" s="42" t="s">
        <v>917</v>
      </c>
      <c r="B65" s="42">
        <v>1</v>
      </c>
      <c r="C65" s="42" t="s">
        <v>49</v>
      </c>
      <c r="D65" s="42">
        <v>4</v>
      </c>
      <c r="E65" s="42" t="s">
        <v>401</v>
      </c>
      <c r="F65" s="42" t="s">
        <v>197</v>
      </c>
      <c r="G65" s="42">
        <v>5949</v>
      </c>
      <c r="H65" s="42" t="s">
        <v>288</v>
      </c>
      <c r="I65" s="42">
        <v>4988934.58</v>
      </c>
      <c r="J65" s="42">
        <v>4988934.58</v>
      </c>
      <c r="K65" s="42" t="b">
        <v>0</v>
      </c>
      <c r="L65" s="42">
        <v>5</v>
      </c>
      <c r="M65" s="42" t="s">
        <v>108</v>
      </c>
      <c r="N65" s="42">
        <v>5</v>
      </c>
      <c r="O65" s="42" t="s">
        <v>143</v>
      </c>
      <c r="P65" s="42">
        <v>55</v>
      </c>
      <c r="Q65" s="42" t="s">
        <v>143</v>
      </c>
      <c r="R65" s="42" t="s">
        <v>114</v>
      </c>
      <c r="U65" s="42" t="s">
        <v>121</v>
      </c>
      <c r="V65" s="42">
        <v>1</v>
      </c>
      <c r="W65" s="42" t="s">
        <v>116</v>
      </c>
      <c r="X65" s="42">
        <v>18</v>
      </c>
      <c r="Y65" s="42" t="s">
        <v>117</v>
      </c>
      <c r="Z65" s="42">
        <v>3067282.25</v>
      </c>
      <c r="AA65" s="42">
        <v>1.6265000000000001</v>
      </c>
      <c r="AB65" s="42" t="s">
        <v>36</v>
      </c>
      <c r="AC65" s="42">
        <v>1</v>
      </c>
      <c r="AD65" s="42">
        <v>1</v>
      </c>
      <c r="AE65" s="42">
        <v>4988934.58</v>
      </c>
    </row>
    <row r="66" spans="1:31" x14ac:dyDescent="0.2">
      <c r="A66" s="42" t="s">
        <v>917</v>
      </c>
      <c r="B66" s="42">
        <v>1</v>
      </c>
      <c r="C66" s="42" t="s">
        <v>49</v>
      </c>
      <c r="D66" s="42">
        <v>4</v>
      </c>
      <c r="E66" s="42" t="s">
        <v>401</v>
      </c>
      <c r="F66" s="42" t="s">
        <v>164</v>
      </c>
      <c r="G66" s="42">
        <v>6750</v>
      </c>
      <c r="H66" s="42" t="s">
        <v>165</v>
      </c>
      <c r="I66" s="42">
        <v>4562472.3499999996</v>
      </c>
      <c r="J66" s="42">
        <v>4562472.3499999996</v>
      </c>
      <c r="K66" s="42" t="b">
        <v>0</v>
      </c>
      <c r="L66" s="42">
        <v>5</v>
      </c>
      <c r="M66" s="42" t="s">
        <v>108</v>
      </c>
      <c r="N66" s="42">
        <v>5</v>
      </c>
      <c r="O66" s="42" t="s">
        <v>143</v>
      </c>
      <c r="P66" s="42">
        <v>55</v>
      </c>
      <c r="Q66" s="42" t="s">
        <v>143</v>
      </c>
      <c r="R66" s="42" t="s">
        <v>114</v>
      </c>
      <c r="U66" s="42" t="s">
        <v>121</v>
      </c>
      <c r="V66" s="42">
        <v>1</v>
      </c>
      <c r="W66" s="42" t="s">
        <v>116</v>
      </c>
      <c r="X66" s="42">
        <v>18</v>
      </c>
      <c r="Y66" s="42" t="s">
        <v>117</v>
      </c>
      <c r="Z66" s="42">
        <v>5514894.6624999996</v>
      </c>
      <c r="AA66" s="42">
        <v>0.82730000000000004</v>
      </c>
      <c r="AB66" s="42" t="s">
        <v>36</v>
      </c>
      <c r="AC66" s="42">
        <v>1</v>
      </c>
      <c r="AD66" s="42">
        <v>1</v>
      </c>
      <c r="AE66" s="42">
        <v>4562472.3499999996</v>
      </c>
    </row>
    <row r="67" spans="1:31" x14ac:dyDescent="0.2">
      <c r="A67" s="42" t="s">
        <v>917</v>
      </c>
      <c r="B67" s="42">
        <v>1</v>
      </c>
      <c r="C67" s="42" t="s">
        <v>49</v>
      </c>
      <c r="D67" s="42">
        <v>4</v>
      </c>
      <c r="E67" s="42" t="s">
        <v>401</v>
      </c>
      <c r="F67" s="42" t="s">
        <v>198</v>
      </c>
      <c r="G67" s="42">
        <v>6918</v>
      </c>
      <c r="H67" s="42" t="s">
        <v>199</v>
      </c>
      <c r="I67" s="42">
        <v>4997684.25</v>
      </c>
      <c r="J67" s="42">
        <v>4997684.25</v>
      </c>
      <c r="K67" s="42" t="b">
        <v>0</v>
      </c>
      <c r="L67" s="42">
        <v>5</v>
      </c>
      <c r="M67" s="42" t="s">
        <v>108</v>
      </c>
      <c r="N67" s="42">
        <v>28</v>
      </c>
      <c r="O67" s="42" t="s">
        <v>120</v>
      </c>
      <c r="P67" s="42">
        <v>9</v>
      </c>
      <c r="Q67" s="42" t="s">
        <v>320</v>
      </c>
      <c r="R67" s="42" t="s">
        <v>114</v>
      </c>
      <c r="U67" s="42" t="s">
        <v>121</v>
      </c>
      <c r="V67" s="42">
        <v>1</v>
      </c>
      <c r="W67" s="42" t="s">
        <v>116</v>
      </c>
      <c r="X67" s="42">
        <v>18</v>
      </c>
      <c r="Y67" s="42" t="s">
        <v>117</v>
      </c>
      <c r="Z67" s="42">
        <v>2875372.1020999998</v>
      </c>
      <c r="AA67" s="42">
        <v>1.7381</v>
      </c>
      <c r="AB67" s="42" t="s">
        <v>36</v>
      </c>
      <c r="AC67" s="42">
        <v>1</v>
      </c>
      <c r="AD67" s="42">
        <v>1</v>
      </c>
      <c r="AE67" s="42">
        <v>4997684.25</v>
      </c>
    </row>
    <row r="68" spans="1:31" x14ac:dyDescent="0.2">
      <c r="A68" s="42" t="s">
        <v>917</v>
      </c>
      <c r="B68" s="42">
        <v>1</v>
      </c>
      <c r="C68" s="42" t="s">
        <v>49</v>
      </c>
      <c r="D68" s="42">
        <v>4</v>
      </c>
      <c r="E68" s="42" t="s">
        <v>401</v>
      </c>
      <c r="F68" s="42" t="s">
        <v>292</v>
      </c>
      <c r="G68" s="42">
        <v>9306</v>
      </c>
      <c r="H68" s="42" t="s">
        <v>293</v>
      </c>
      <c r="I68" s="42">
        <v>2355912.17</v>
      </c>
      <c r="J68" s="42">
        <v>2355912.17</v>
      </c>
      <c r="K68" s="42" t="b">
        <v>0</v>
      </c>
      <c r="L68" s="42">
        <v>5</v>
      </c>
      <c r="M68" s="42" t="s">
        <v>108</v>
      </c>
      <c r="N68" s="42">
        <v>27</v>
      </c>
      <c r="O68" s="42" t="s">
        <v>129</v>
      </c>
      <c r="P68" s="42">
        <v>10</v>
      </c>
      <c r="Q68" s="42" t="s">
        <v>129</v>
      </c>
      <c r="R68" s="42" t="s">
        <v>114</v>
      </c>
      <c r="U68" s="42" t="s">
        <v>121</v>
      </c>
      <c r="V68" s="42">
        <v>1</v>
      </c>
      <c r="W68" s="42" t="s">
        <v>116</v>
      </c>
      <c r="X68" s="42">
        <v>18</v>
      </c>
      <c r="Y68" s="42" t="s">
        <v>117</v>
      </c>
      <c r="Z68" s="42">
        <v>888185.549</v>
      </c>
      <c r="AA68" s="42">
        <v>2.6524999999999999</v>
      </c>
      <c r="AB68" s="42" t="s">
        <v>36</v>
      </c>
      <c r="AC68" s="42">
        <v>1</v>
      </c>
      <c r="AD68" s="42">
        <v>1</v>
      </c>
      <c r="AE68" s="42">
        <v>2355912.17</v>
      </c>
    </row>
    <row r="69" spans="1:31" x14ac:dyDescent="0.2">
      <c r="A69" s="42" t="s">
        <v>917</v>
      </c>
      <c r="B69" s="42">
        <v>1</v>
      </c>
      <c r="C69" s="42" t="s">
        <v>49</v>
      </c>
      <c r="D69" s="42">
        <v>4</v>
      </c>
      <c r="E69" s="42" t="s">
        <v>401</v>
      </c>
      <c r="F69" s="42" t="s">
        <v>362</v>
      </c>
      <c r="G69" s="42">
        <v>10019</v>
      </c>
      <c r="H69" s="42" t="s">
        <v>363</v>
      </c>
      <c r="I69" s="42">
        <v>6716045.8499999996</v>
      </c>
      <c r="J69" s="42">
        <v>6716528.4699999997</v>
      </c>
      <c r="K69" s="42" t="b">
        <v>1</v>
      </c>
      <c r="L69" s="42">
        <v>5</v>
      </c>
      <c r="M69" s="42" t="s">
        <v>108</v>
      </c>
      <c r="N69" s="42">
        <v>4</v>
      </c>
      <c r="O69" s="42" t="s">
        <v>109</v>
      </c>
      <c r="P69" s="42">
        <v>6</v>
      </c>
      <c r="Q69" s="42" t="s">
        <v>109</v>
      </c>
      <c r="R69" s="42" t="s">
        <v>243</v>
      </c>
      <c r="S69" s="42">
        <v>1</v>
      </c>
      <c r="T69" s="42" t="s">
        <v>205</v>
      </c>
      <c r="U69" s="42" t="s">
        <v>115</v>
      </c>
      <c r="V69" s="42">
        <v>1</v>
      </c>
      <c r="W69" s="42" t="s">
        <v>116</v>
      </c>
      <c r="X69" s="42">
        <v>22</v>
      </c>
      <c r="Y69" s="42" t="s">
        <v>217</v>
      </c>
      <c r="Z69" s="42">
        <v>110808</v>
      </c>
      <c r="AA69" s="42">
        <v>69.584999999999994</v>
      </c>
      <c r="AB69" s="42" t="s">
        <v>34</v>
      </c>
      <c r="AC69" s="42">
        <v>1.1479999999999999</v>
      </c>
      <c r="AD69" s="42">
        <v>1</v>
      </c>
      <c r="AE69" s="42">
        <v>6716528.4699999997</v>
      </c>
    </row>
    <row r="70" spans="1:31" x14ac:dyDescent="0.2">
      <c r="A70" s="42" t="s">
        <v>917</v>
      </c>
      <c r="B70" s="42">
        <v>1</v>
      </c>
      <c r="C70" s="42" t="s">
        <v>49</v>
      </c>
      <c r="D70" s="42">
        <v>4</v>
      </c>
      <c r="E70" s="42" t="s">
        <v>401</v>
      </c>
      <c r="F70" s="42" t="s">
        <v>525</v>
      </c>
      <c r="G70" s="42">
        <v>12005</v>
      </c>
      <c r="H70" s="42" t="s">
        <v>526</v>
      </c>
      <c r="I70" s="42">
        <v>969463.78</v>
      </c>
      <c r="J70" s="42">
        <v>970470.43</v>
      </c>
      <c r="K70" s="42" t="b">
        <v>1</v>
      </c>
      <c r="L70" s="42">
        <v>5</v>
      </c>
      <c r="M70" s="42" t="s">
        <v>108</v>
      </c>
      <c r="N70" s="42">
        <v>28</v>
      </c>
      <c r="O70" s="42" t="s">
        <v>120</v>
      </c>
      <c r="P70" s="42">
        <v>227</v>
      </c>
      <c r="Q70" s="42" t="s">
        <v>338</v>
      </c>
      <c r="R70" s="42" t="s">
        <v>204</v>
      </c>
      <c r="S70" s="42">
        <v>1</v>
      </c>
      <c r="T70" s="42" t="s">
        <v>205</v>
      </c>
      <c r="U70" s="42" t="s">
        <v>212</v>
      </c>
      <c r="V70" s="42">
        <v>1</v>
      </c>
      <c r="W70" s="42" t="s">
        <v>116</v>
      </c>
      <c r="X70" s="42">
        <v>22</v>
      </c>
      <c r="Y70" s="42" t="s">
        <v>217</v>
      </c>
      <c r="Z70" s="42">
        <v>73900</v>
      </c>
      <c r="AA70" s="42">
        <v>16.388999999999999</v>
      </c>
      <c r="AB70" s="42" t="s">
        <v>35</v>
      </c>
      <c r="AC70" s="42">
        <v>1.248</v>
      </c>
      <c r="AD70" s="42">
        <v>1</v>
      </c>
      <c r="AE70" s="42">
        <v>970470.43</v>
      </c>
    </row>
    <row r="71" spans="1:31" x14ac:dyDescent="0.2">
      <c r="A71" s="42" t="s">
        <v>917</v>
      </c>
      <c r="B71" s="42">
        <v>1</v>
      </c>
      <c r="C71" s="42" t="s">
        <v>49</v>
      </c>
      <c r="D71" s="42">
        <v>4</v>
      </c>
      <c r="E71" s="42" t="s">
        <v>401</v>
      </c>
      <c r="F71" s="42" t="s">
        <v>460</v>
      </c>
      <c r="G71" s="42">
        <v>12041</v>
      </c>
      <c r="H71" s="42" t="s">
        <v>461</v>
      </c>
      <c r="I71" s="42">
        <v>4472600</v>
      </c>
      <c r="J71" s="42">
        <v>4472600</v>
      </c>
      <c r="K71" s="42" t="b">
        <v>0</v>
      </c>
      <c r="L71" s="42">
        <v>5</v>
      </c>
      <c r="M71" s="42" t="s">
        <v>108</v>
      </c>
      <c r="N71" s="42">
        <v>5</v>
      </c>
      <c r="O71" s="42" t="s">
        <v>143</v>
      </c>
      <c r="P71" s="42">
        <v>55</v>
      </c>
      <c r="Q71" s="42" t="s">
        <v>143</v>
      </c>
      <c r="R71" s="42" t="s">
        <v>114</v>
      </c>
      <c r="U71" s="42" t="s">
        <v>121</v>
      </c>
      <c r="V71" s="42">
        <v>1</v>
      </c>
      <c r="W71" s="42" t="s">
        <v>116</v>
      </c>
      <c r="X71" s="42">
        <v>18</v>
      </c>
      <c r="Y71" s="42" t="s">
        <v>117</v>
      </c>
      <c r="Z71" s="42">
        <v>2194279.5469999998</v>
      </c>
      <c r="AA71" s="42">
        <v>2.0383</v>
      </c>
      <c r="AB71" s="42" t="s">
        <v>36</v>
      </c>
      <c r="AC71" s="42">
        <v>1</v>
      </c>
      <c r="AD71" s="42">
        <v>1</v>
      </c>
      <c r="AE71" s="42">
        <v>4472600</v>
      </c>
    </row>
    <row r="72" spans="1:31" x14ac:dyDescent="0.2">
      <c r="A72" s="42" t="s">
        <v>917</v>
      </c>
      <c r="B72" s="42">
        <v>1</v>
      </c>
      <c r="C72" s="42" t="s">
        <v>50</v>
      </c>
      <c r="D72" s="42">
        <v>25</v>
      </c>
      <c r="E72" s="42" t="s">
        <v>175</v>
      </c>
      <c r="F72" s="42" t="s">
        <v>499</v>
      </c>
      <c r="G72" s="42">
        <v>2568</v>
      </c>
      <c r="H72" s="42" t="s">
        <v>500</v>
      </c>
      <c r="I72" s="42">
        <v>1019812.42</v>
      </c>
      <c r="J72" s="42">
        <v>1019812.42</v>
      </c>
      <c r="K72" s="42" t="b">
        <v>0</v>
      </c>
      <c r="L72" s="42">
        <v>5</v>
      </c>
      <c r="M72" s="42" t="s">
        <v>108</v>
      </c>
      <c r="N72" s="42">
        <v>2</v>
      </c>
      <c r="O72" s="42" t="s">
        <v>122</v>
      </c>
      <c r="P72" s="42">
        <v>1</v>
      </c>
      <c r="Q72" s="42" t="s">
        <v>326</v>
      </c>
      <c r="R72" s="42" t="s">
        <v>114</v>
      </c>
      <c r="U72" s="42" t="s">
        <v>121</v>
      </c>
      <c r="V72" s="42">
        <v>1</v>
      </c>
      <c r="W72" s="42" t="s">
        <v>116</v>
      </c>
      <c r="X72" s="42">
        <v>18</v>
      </c>
      <c r="Y72" s="42" t="s">
        <v>117</v>
      </c>
      <c r="Z72" s="42">
        <v>331711.03999999998</v>
      </c>
      <c r="AA72" s="42">
        <v>3.0743999999999998</v>
      </c>
      <c r="AB72" s="42" t="s">
        <v>36</v>
      </c>
      <c r="AC72" s="42">
        <v>1</v>
      </c>
      <c r="AD72" s="42">
        <v>1</v>
      </c>
      <c r="AE72" s="42">
        <v>1019812.42</v>
      </c>
    </row>
    <row r="73" spans="1:31" x14ac:dyDescent="0.2">
      <c r="A73" s="42" t="s">
        <v>917</v>
      </c>
      <c r="B73" s="42">
        <v>1</v>
      </c>
      <c r="C73" s="42" t="s">
        <v>50</v>
      </c>
      <c r="D73" s="42">
        <v>25</v>
      </c>
      <c r="E73" s="42" t="s">
        <v>175</v>
      </c>
      <c r="F73" s="42" t="s">
        <v>132</v>
      </c>
      <c r="G73" s="42">
        <v>2856</v>
      </c>
      <c r="H73" s="42" t="s">
        <v>133</v>
      </c>
      <c r="I73" s="42">
        <v>1017054.98</v>
      </c>
      <c r="J73" s="42">
        <v>1017054.98</v>
      </c>
      <c r="K73" s="42" t="b">
        <v>0</v>
      </c>
      <c r="L73" s="42">
        <v>5</v>
      </c>
      <c r="M73" s="42" t="s">
        <v>108</v>
      </c>
      <c r="N73" s="42">
        <v>4</v>
      </c>
      <c r="O73" s="42" t="s">
        <v>109</v>
      </c>
      <c r="P73" s="42">
        <v>6</v>
      </c>
      <c r="Q73" s="42" t="s">
        <v>109</v>
      </c>
      <c r="R73" s="42" t="s">
        <v>114</v>
      </c>
      <c r="U73" s="42" t="s">
        <v>121</v>
      </c>
      <c r="V73" s="42">
        <v>1</v>
      </c>
      <c r="W73" s="42" t="s">
        <v>116</v>
      </c>
      <c r="X73" s="42">
        <v>18</v>
      </c>
      <c r="Y73" s="42" t="s">
        <v>117</v>
      </c>
      <c r="Z73" s="42">
        <v>294108.03000000003</v>
      </c>
      <c r="AA73" s="42">
        <v>3.4581</v>
      </c>
      <c r="AB73" s="42" t="s">
        <v>36</v>
      </c>
      <c r="AC73" s="42">
        <v>1</v>
      </c>
      <c r="AD73" s="42">
        <v>1</v>
      </c>
      <c r="AE73" s="42">
        <v>1017054.98</v>
      </c>
    </row>
    <row r="74" spans="1:31" x14ac:dyDescent="0.2">
      <c r="A74" s="42" t="s">
        <v>917</v>
      </c>
      <c r="B74" s="42">
        <v>1</v>
      </c>
      <c r="C74" s="42" t="s">
        <v>50</v>
      </c>
      <c r="D74" s="42">
        <v>25</v>
      </c>
      <c r="E74" s="42" t="s">
        <v>175</v>
      </c>
      <c r="F74" s="42" t="s">
        <v>501</v>
      </c>
      <c r="G74" s="42">
        <v>2857</v>
      </c>
      <c r="H74" s="42" t="s">
        <v>502</v>
      </c>
      <c r="I74" s="42">
        <v>1440153.65</v>
      </c>
      <c r="J74" s="42">
        <v>1441449.33</v>
      </c>
      <c r="K74" s="42" t="b">
        <v>0</v>
      </c>
      <c r="L74" s="42">
        <v>5</v>
      </c>
      <c r="M74" s="42" t="s">
        <v>108</v>
      </c>
      <c r="N74" s="42">
        <v>29</v>
      </c>
      <c r="O74" s="42" t="s">
        <v>142</v>
      </c>
      <c r="P74" s="42">
        <v>3</v>
      </c>
      <c r="Q74" s="42" t="s">
        <v>325</v>
      </c>
      <c r="R74" s="42" t="s">
        <v>114</v>
      </c>
      <c r="U74" s="42" t="s">
        <v>121</v>
      </c>
      <c r="V74" s="42">
        <v>1</v>
      </c>
      <c r="W74" s="42" t="s">
        <v>116</v>
      </c>
      <c r="X74" s="42">
        <v>18</v>
      </c>
      <c r="Y74" s="42" t="s">
        <v>117</v>
      </c>
      <c r="Z74" s="42">
        <v>575854.15399999998</v>
      </c>
      <c r="AA74" s="42">
        <v>2.5031500000000002</v>
      </c>
      <c r="AB74" s="42" t="s">
        <v>36</v>
      </c>
      <c r="AC74" s="42">
        <v>1</v>
      </c>
      <c r="AD74" s="42">
        <v>1</v>
      </c>
      <c r="AE74" s="42">
        <v>1441449.33</v>
      </c>
    </row>
    <row r="75" spans="1:31" x14ac:dyDescent="0.2">
      <c r="A75" s="42" t="s">
        <v>917</v>
      </c>
      <c r="B75" s="42">
        <v>1</v>
      </c>
      <c r="C75" s="42" t="s">
        <v>50</v>
      </c>
      <c r="D75" s="42">
        <v>25</v>
      </c>
      <c r="E75" s="42" t="s">
        <v>175</v>
      </c>
      <c r="F75" s="42" t="s">
        <v>195</v>
      </c>
      <c r="G75" s="42">
        <v>2859</v>
      </c>
      <c r="H75" s="42" t="s">
        <v>280</v>
      </c>
      <c r="I75" s="42">
        <v>1102938.23</v>
      </c>
      <c r="J75" s="42">
        <v>1102938.23</v>
      </c>
      <c r="K75" s="42" t="b">
        <v>0</v>
      </c>
      <c r="L75" s="42">
        <v>5</v>
      </c>
      <c r="M75" s="42" t="s">
        <v>108</v>
      </c>
      <c r="N75" s="42">
        <v>2</v>
      </c>
      <c r="O75" s="42" t="s">
        <v>122</v>
      </c>
      <c r="P75" s="42">
        <v>1</v>
      </c>
      <c r="Q75" s="42" t="s">
        <v>326</v>
      </c>
      <c r="R75" s="42" t="s">
        <v>114</v>
      </c>
      <c r="U75" s="42" t="s">
        <v>121</v>
      </c>
      <c r="V75" s="42">
        <v>1</v>
      </c>
      <c r="W75" s="42" t="s">
        <v>116</v>
      </c>
      <c r="X75" s="42">
        <v>18</v>
      </c>
      <c r="Y75" s="42" t="s">
        <v>117</v>
      </c>
      <c r="Z75" s="42">
        <v>402929.24900000001</v>
      </c>
      <c r="AA75" s="42">
        <v>2.7372999999999998</v>
      </c>
      <c r="AB75" s="42" t="s">
        <v>36</v>
      </c>
      <c r="AC75" s="42">
        <v>1</v>
      </c>
      <c r="AD75" s="42">
        <v>1</v>
      </c>
      <c r="AE75" s="42">
        <v>1102938.23</v>
      </c>
    </row>
    <row r="76" spans="1:31" x14ac:dyDescent="0.2">
      <c r="A76" s="42" t="s">
        <v>917</v>
      </c>
      <c r="B76" s="42">
        <v>1</v>
      </c>
      <c r="C76" s="42" t="s">
        <v>50</v>
      </c>
      <c r="D76" s="42">
        <v>25</v>
      </c>
      <c r="E76" s="42" t="s">
        <v>175</v>
      </c>
      <c r="F76" s="42" t="s">
        <v>194</v>
      </c>
      <c r="G76" s="42">
        <v>2906</v>
      </c>
      <c r="H76" s="42" t="s">
        <v>364</v>
      </c>
      <c r="I76" s="42">
        <v>559732.85</v>
      </c>
      <c r="J76" s="42">
        <v>559732.85</v>
      </c>
      <c r="K76" s="42" t="b">
        <v>0</v>
      </c>
      <c r="L76" s="42">
        <v>5</v>
      </c>
      <c r="M76" s="42" t="s">
        <v>108</v>
      </c>
      <c r="N76" s="42">
        <v>28</v>
      </c>
      <c r="O76" s="42" t="s">
        <v>120</v>
      </c>
      <c r="P76" s="42">
        <v>9</v>
      </c>
      <c r="Q76" s="42" t="s">
        <v>320</v>
      </c>
      <c r="R76" s="42" t="s">
        <v>114</v>
      </c>
      <c r="U76" s="42" t="s">
        <v>121</v>
      </c>
      <c r="V76" s="42">
        <v>1</v>
      </c>
      <c r="W76" s="42" t="s">
        <v>116</v>
      </c>
      <c r="X76" s="42">
        <v>18</v>
      </c>
      <c r="Y76" s="42" t="s">
        <v>117</v>
      </c>
      <c r="Z76" s="42">
        <v>52262.637999999999</v>
      </c>
      <c r="AA76" s="42">
        <v>10.71</v>
      </c>
      <c r="AB76" s="42" t="s">
        <v>36</v>
      </c>
      <c r="AC76" s="42">
        <v>1</v>
      </c>
      <c r="AD76" s="42">
        <v>1</v>
      </c>
      <c r="AE76" s="42">
        <v>559732.85</v>
      </c>
    </row>
    <row r="77" spans="1:31" x14ac:dyDescent="0.2">
      <c r="A77" s="42" t="s">
        <v>917</v>
      </c>
      <c r="B77" s="42">
        <v>1</v>
      </c>
      <c r="C77" s="42" t="s">
        <v>50</v>
      </c>
      <c r="D77" s="42">
        <v>25</v>
      </c>
      <c r="E77" s="42" t="s">
        <v>175</v>
      </c>
      <c r="F77" s="42" t="s">
        <v>509</v>
      </c>
      <c r="G77" s="42">
        <v>2929</v>
      </c>
      <c r="H77" s="42" t="s">
        <v>510</v>
      </c>
      <c r="I77" s="42">
        <v>1015400.18</v>
      </c>
      <c r="J77" s="42">
        <v>1015400.18</v>
      </c>
      <c r="K77" s="42" t="b">
        <v>0</v>
      </c>
      <c r="L77" s="42">
        <v>5</v>
      </c>
      <c r="M77" s="42" t="s">
        <v>108</v>
      </c>
      <c r="N77" s="42">
        <v>4</v>
      </c>
      <c r="O77" s="42" t="s">
        <v>109</v>
      </c>
      <c r="P77" s="42">
        <v>6</v>
      </c>
      <c r="Q77" s="42" t="s">
        <v>109</v>
      </c>
      <c r="R77" s="42" t="s">
        <v>114</v>
      </c>
      <c r="U77" s="42" t="s">
        <v>121</v>
      </c>
      <c r="V77" s="42">
        <v>1</v>
      </c>
      <c r="W77" s="42" t="s">
        <v>116</v>
      </c>
      <c r="X77" s="42">
        <v>18</v>
      </c>
      <c r="Y77" s="42" t="s">
        <v>117</v>
      </c>
      <c r="Z77" s="42">
        <v>130514.162</v>
      </c>
      <c r="AA77" s="42">
        <v>7.78</v>
      </c>
      <c r="AB77" s="42" t="s">
        <v>36</v>
      </c>
      <c r="AC77" s="42">
        <v>1</v>
      </c>
      <c r="AD77" s="42">
        <v>1</v>
      </c>
      <c r="AE77" s="42">
        <v>1015400.18</v>
      </c>
    </row>
    <row r="78" spans="1:31" x14ac:dyDescent="0.2">
      <c r="A78" s="42" t="s">
        <v>917</v>
      </c>
      <c r="B78" s="42">
        <v>1</v>
      </c>
      <c r="C78" s="42" t="s">
        <v>50</v>
      </c>
      <c r="D78" s="42">
        <v>25</v>
      </c>
      <c r="E78" s="42" t="s">
        <v>175</v>
      </c>
      <c r="F78" s="42" t="s">
        <v>527</v>
      </c>
      <c r="G78" s="42">
        <v>2946</v>
      </c>
      <c r="H78" s="42" t="s">
        <v>528</v>
      </c>
      <c r="I78" s="42">
        <v>1627870.54</v>
      </c>
      <c r="J78" s="42">
        <v>1627870.54</v>
      </c>
      <c r="K78" s="42" t="b">
        <v>0</v>
      </c>
      <c r="L78" s="42">
        <v>5</v>
      </c>
      <c r="M78" s="42" t="s">
        <v>108</v>
      </c>
      <c r="N78" s="42">
        <v>1</v>
      </c>
      <c r="O78" s="42" t="s">
        <v>112</v>
      </c>
      <c r="P78" s="42">
        <v>80</v>
      </c>
      <c r="Q78" s="42" t="s">
        <v>213</v>
      </c>
      <c r="R78" s="42" t="s">
        <v>114</v>
      </c>
      <c r="U78" s="42" t="s">
        <v>115</v>
      </c>
      <c r="V78" s="42">
        <v>1</v>
      </c>
      <c r="W78" s="42" t="s">
        <v>116</v>
      </c>
      <c r="X78" s="42">
        <v>18</v>
      </c>
      <c r="Y78" s="42" t="s">
        <v>117</v>
      </c>
      <c r="Z78" s="42">
        <v>160255.02499999999</v>
      </c>
      <c r="AA78" s="42">
        <v>10.157999999999999</v>
      </c>
      <c r="AB78" s="42" t="s">
        <v>36</v>
      </c>
      <c r="AC78" s="42">
        <v>1</v>
      </c>
      <c r="AD78" s="42">
        <v>1</v>
      </c>
      <c r="AE78" s="42">
        <v>1627870.54</v>
      </c>
    </row>
    <row r="79" spans="1:31" x14ac:dyDescent="0.2">
      <c r="A79" s="42" t="s">
        <v>917</v>
      </c>
      <c r="B79" s="42">
        <v>1</v>
      </c>
      <c r="C79" s="42" t="s">
        <v>50</v>
      </c>
      <c r="D79" s="42">
        <v>25</v>
      </c>
      <c r="E79" s="42" t="s">
        <v>175</v>
      </c>
      <c r="F79" s="42" t="s">
        <v>521</v>
      </c>
      <c r="G79" s="42">
        <v>2994</v>
      </c>
      <c r="H79" s="42" t="s">
        <v>522</v>
      </c>
      <c r="I79" s="42">
        <v>857386.47</v>
      </c>
      <c r="J79" s="42">
        <v>857386.47</v>
      </c>
      <c r="K79" s="42" t="b">
        <v>0</v>
      </c>
      <c r="L79" s="42">
        <v>5</v>
      </c>
      <c r="M79" s="42" t="s">
        <v>108</v>
      </c>
      <c r="N79" s="42">
        <v>5</v>
      </c>
      <c r="O79" s="42" t="s">
        <v>143</v>
      </c>
      <c r="P79" s="42">
        <v>55</v>
      </c>
      <c r="Q79" s="42" t="s">
        <v>143</v>
      </c>
      <c r="R79" s="42" t="s">
        <v>114</v>
      </c>
      <c r="U79" s="42" t="s">
        <v>121</v>
      </c>
      <c r="V79" s="42">
        <v>1</v>
      </c>
      <c r="W79" s="42" t="s">
        <v>116</v>
      </c>
      <c r="X79" s="42">
        <v>18</v>
      </c>
      <c r="Y79" s="42" t="s">
        <v>117</v>
      </c>
      <c r="Z79" s="42">
        <v>551019.57999999996</v>
      </c>
      <c r="AA79" s="42">
        <v>1.556</v>
      </c>
      <c r="AB79" s="42" t="s">
        <v>36</v>
      </c>
      <c r="AC79" s="42">
        <v>1</v>
      </c>
      <c r="AD79" s="42">
        <v>1</v>
      </c>
      <c r="AE79" s="42">
        <v>857386.47</v>
      </c>
    </row>
    <row r="80" spans="1:31" x14ac:dyDescent="0.2">
      <c r="A80" s="42" t="s">
        <v>917</v>
      </c>
      <c r="B80" s="42">
        <v>1</v>
      </c>
      <c r="C80" s="42" t="s">
        <v>50</v>
      </c>
      <c r="D80" s="42">
        <v>25</v>
      </c>
      <c r="E80" s="42" t="s">
        <v>175</v>
      </c>
      <c r="F80" s="42" t="s">
        <v>529</v>
      </c>
      <c r="G80" s="42">
        <v>3093</v>
      </c>
      <c r="H80" s="42" t="s">
        <v>530</v>
      </c>
      <c r="I80" s="42">
        <v>1088028.26</v>
      </c>
      <c r="J80" s="42">
        <v>1088028.26</v>
      </c>
      <c r="K80" s="42" t="b">
        <v>0</v>
      </c>
      <c r="L80" s="42">
        <v>5</v>
      </c>
      <c r="M80" s="42" t="s">
        <v>108</v>
      </c>
      <c r="N80" s="42">
        <v>4</v>
      </c>
      <c r="O80" s="42" t="s">
        <v>109</v>
      </c>
      <c r="P80" s="42">
        <v>6</v>
      </c>
      <c r="Q80" s="42" t="s">
        <v>109</v>
      </c>
      <c r="R80" s="42" t="s">
        <v>114</v>
      </c>
      <c r="U80" s="42" t="s">
        <v>121</v>
      </c>
      <c r="V80" s="42">
        <v>1</v>
      </c>
      <c r="W80" s="42" t="s">
        <v>116</v>
      </c>
      <c r="X80" s="42">
        <v>18</v>
      </c>
      <c r="Y80" s="42" t="s">
        <v>117</v>
      </c>
      <c r="Z80" s="42">
        <v>104819.678</v>
      </c>
      <c r="AA80" s="42">
        <v>10.38</v>
      </c>
      <c r="AB80" s="42" t="s">
        <v>36</v>
      </c>
      <c r="AC80" s="42">
        <v>1</v>
      </c>
      <c r="AD80" s="42">
        <v>1</v>
      </c>
      <c r="AE80" s="42">
        <v>1088028.26</v>
      </c>
    </row>
    <row r="81" spans="1:31" x14ac:dyDescent="0.2">
      <c r="A81" s="42" t="s">
        <v>917</v>
      </c>
      <c r="B81" s="42">
        <v>1</v>
      </c>
      <c r="C81" s="42" t="s">
        <v>50</v>
      </c>
      <c r="D81" s="42">
        <v>25</v>
      </c>
      <c r="E81" s="42" t="s">
        <v>175</v>
      </c>
      <c r="F81" s="42" t="s">
        <v>531</v>
      </c>
      <c r="G81" s="42">
        <v>3096</v>
      </c>
      <c r="H81" s="42" t="s">
        <v>532</v>
      </c>
      <c r="I81" s="42">
        <v>855226.84</v>
      </c>
      <c r="J81" s="42">
        <v>855226.84</v>
      </c>
      <c r="K81" s="42" t="b">
        <v>0</v>
      </c>
      <c r="L81" s="42">
        <v>5</v>
      </c>
      <c r="M81" s="42" t="s">
        <v>108</v>
      </c>
      <c r="N81" s="42">
        <v>2</v>
      </c>
      <c r="O81" s="42" t="s">
        <v>122</v>
      </c>
      <c r="P81" s="42">
        <v>1</v>
      </c>
      <c r="Q81" s="42" t="s">
        <v>326</v>
      </c>
      <c r="R81" s="42" t="s">
        <v>114</v>
      </c>
      <c r="U81" s="42" t="s">
        <v>121</v>
      </c>
      <c r="V81" s="42">
        <v>1</v>
      </c>
      <c r="W81" s="42" t="s">
        <v>116</v>
      </c>
      <c r="X81" s="42">
        <v>18</v>
      </c>
      <c r="Y81" s="42" t="s">
        <v>117</v>
      </c>
      <c r="Z81" s="42">
        <v>301560.946</v>
      </c>
      <c r="AA81" s="42">
        <v>2.8359999999999999</v>
      </c>
      <c r="AB81" s="42" t="s">
        <v>36</v>
      </c>
      <c r="AC81" s="42">
        <v>1</v>
      </c>
      <c r="AD81" s="42">
        <v>1</v>
      </c>
      <c r="AE81" s="42">
        <v>855226.84</v>
      </c>
    </row>
    <row r="82" spans="1:31" x14ac:dyDescent="0.2">
      <c r="A82" s="42" t="s">
        <v>917</v>
      </c>
      <c r="B82" s="42">
        <v>1</v>
      </c>
      <c r="C82" s="42" t="s">
        <v>50</v>
      </c>
      <c r="D82" s="42">
        <v>25</v>
      </c>
      <c r="E82" s="42" t="s">
        <v>175</v>
      </c>
      <c r="F82" s="42" t="s">
        <v>533</v>
      </c>
      <c r="G82" s="42">
        <v>3991</v>
      </c>
      <c r="H82" s="42" t="s">
        <v>534</v>
      </c>
      <c r="I82" s="42">
        <v>685394.19</v>
      </c>
      <c r="J82" s="42">
        <v>685394.19</v>
      </c>
      <c r="K82" s="42" t="b">
        <v>0</v>
      </c>
      <c r="L82" s="42">
        <v>5</v>
      </c>
      <c r="M82" s="42" t="s">
        <v>108</v>
      </c>
      <c r="N82" s="42">
        <v>28</v>
      </c>
      <c r="O82" s="42" t="s">
        <v>120</v>
      </c>
      <c r="P82" s="42">
        <v>9</v>
      </c>
      <c r="Q82" s="42" t="s">
        <v>320</v>
      </c>
      <c r="R82" s="42" t="s">
        <v>114</v>
      </c>
      <c r="U82" s="42" t="s">
        <v>121</v>
      </c>
      <c r="V82" s="42">
        <v>1</v>
      </c>
      <c r="W82" s="42" t="s">
        <v>116</v>
      </c>
      <c r="X82" s="42">
        <v>18</v>
      </c>
      <c r="Y82" s="42" t="s">
        <v>117</v>
      </c>
      <c r="Z82" s="42">
        <v>301762.94900000002</v>
      </c>
      <c r="AA82" s="42">
        <v>2.2713000000000001</v>
      </c>
      <c r="AB82" s="42" t="s">
        <v>36</v>
      </c>
      <c r="AC82" s="42">
        <v>1</v>
      </c>
      <c r="AD82" s="42">
        <v>1</v>
      </c>
      <c r="AE82" s="42">
        <v>685394.19</v>
      </c>
    </row>
    <row r="83" spans="1:31" x14ac:dyDescent="0.2">
      <c r="A83" s="42" t="s">
        <v>917</v>
      </c>
      <c r="B83" s="42">
        <v>1</v>
      </c>
      <c r="C83" s="42" t="s">
        <v>50</v>
      </c>
      <c r="D83" s="42">
        <v>25</v>
      </c>
      <c r="E83" s="42" t="s">
        <v>175</v>
      </c>
      <c r="F83" s="42" t="s">
        <v>158</v>
      </c>
      <c r="G83" s="42">
        <v>4003</v>
      </c>
      <c r="H83" s="42" t="s">
        <v>159</v>
      </c>
      <c r="I83" s="42">
        <v>865910.95</v>
      </c>
      <c r="J83" s="42">
        <v>865910.95</v>
      </c>
      <c r="K83" s="42" t="b">
        <v>0</v>
      </c>
      <c r="L83" s="42">
        <v>5</v>
      </c>
      <c r="M83" s="42" t="s">
        <v>108</v>
      </c>
      <c r="N83" s="42">
        <v>2</v>
      </c>
      <c r="O83" s="42" t="s">
        <v>122</v>
      </c>
      <c r="P83" s="42">
        <v>1</v>
      </c>
      <c r="Q83" s="42" t="s">
        <v>326</v>
      </c>
      <c r="R83" s="42" t="s">
        <v>114</v>
      </c>
      <c r="U83" s="42" t="s">
        <v>121</v>
      </c>
      <c r="V83" s="42">
        <v>1</v>
      </c>
      <c r="W83" s="42" t="s">
        <v>116</v>
      </c>
      <c r="X83" s="42">
        <v>18</v>
      </c>
      <c r="Y83" s="42" t="s">
        <v>117</v>
      </c>
      <c r="Z83" s="42">
        <v>1459974.629</v>
      </c>
      <c r="AA83" s="42">
        <v>0.59309999999999996</v>
      </c>
      <c r="AB83" s="42" t="s">
        <v>36</v>
      </c>
      <c r="AC83" s="42">
        <v>1</v>
      </c>
      <c r="AD83" s="42">
        <v>1</v>
      </c>
      <c r="AE83" s="42">
        <v>865910.95</v>
      </c>
    </row>
    <row r="84" spans="1:31" x14ac:dyDescent="0.2">
      <c r="A84" s="42" t="s">
        <v>917</v>
      </c>
      <c r="B84" s="42">
        <v>1</v>
      </c>
      <c r="C84" s="42" t="s">
        <v>50</v>
      </c>
      <c r="D84" s="42">
        <v>25</v>
      </c>
      <c r="E84" s="42" t="s">
        <v>175</v>
      </c>
      <c r="F84" s="42" t="s">
        <v>535</v>
      </c>
      <c r="G84" s="42">
        <v>4658</v>
      </c>
      <c r="H84" s="42" t="s">
        <v>536</v>
      </c>
      <c r="I84" s="42">
        <v>1102693.72</v>
      </c>
      <c r="J84" s="42">
        <v>1102693.72</v>
      </c>
      <c r="K84" s="42" t="b">
        <v>0</v>
      </c>
      <c r="L84" s="42">
        <v>5</v>
      </c>
      <c r="M84" s="42" t="s">
        <v>108</v>
      </c>
      <c r="N84" s="42">
        <v>2</v>
      </c>
      <c r="O84" s="42" t="s">
        <v>122</v>
      </c>
      <c r="P84" s="42">
        <v>1</v>
      </c>
      <c r="Q84" s="42" t="s">
        <v>326</v>
      </c>
      <c r="R84" s="42" t="s">
        <v>114</v>
      </c>
      <c r="U84" s="42" t="s">
        <v>115</v>
      </c>
      <c r="V84" s="42">
        <v>1</v>
      </c>
      <c r="W84" s="42" t="s">
        <v>116</v>
      </c>
      <c r="X84" s="42">
        <v>18</v>
      </c>
      <c r="Y84" s="42" t="s">
        <v>117</v>
      </c>
      <c r="Z84" s="42">
        <v>86689.758000000002</v>
      </c>
      <c r="AA84" s="42">
        <v>12.72</v>
      </c>
      <c r="AB84" s="42" t="s">
        <v>36</v>
      </c>
      <c r="AC84" s="42">
        <v>1</v>
      </c>
      <c r="AD84" s="42">
        <v>1</v>
      </c>
      <c r="AE84" s="42">
        <v>1102693.72</v>
      </c>
    </row>
    <row r="85" spans="1:31" x14ac:dyDescent="0.2">
      <c r="A85" s="42" t="s">
        <v>917</v>
      </c>
      <c r="B85" s="42">
        <v>1</v>
      </c>
      <c r="C85" s="42" t="s">
        <v>50</v>
      </c>
      <c r="D85" s="42">
        <v>25</v>
      </c>
      <c r="E85" s="42" t="s">
        <v>175</v>
      </c>
      <c r="F85" s="42" t="s">
        <v>537</v>
      </c>
      <c r="G85" s="42">
        <v>7050</v>
      </c>
      <c r="H85" s="42" t="s">
        <v>538</v>
      </c>
      <c r="I85" s="42">
        <v>1069341.4099999999</v>
      </c>
      <c r="J85" s="42">
        <v>1069341.4099999999</v>
      </c>
      <c r="K85" s="42" t="b">
        <v>0</v>
      </c>
      <c r="L85" s="42">
        <v>5</v>
      </c>
      <c r="M85" s="42" t="s">
        <v>108</v>
      </c>
      <c r="N85" s="42">
        <v>4</v>
      </c>
      <c r="O85" s="42" t="s">
        <v>109</v>
      </c>
      <c r="P85" s="42">
        <v>6</v>
      </c>
      <c r="Q85" s="42" t="s">
        <v>109</v>
      </c>
      <c r="R85" s="42" t="s">
        <v>114</v>
      </c>
      <c r="U85" s="42" t="s">
        <v>121</v>
      </c>
      <c r="V85" s="42">
        <v>1</v>
      </c>
      <c r="W85" s="42" t="s">
        <v>116</v>
      </c>
      <c r="X85" s="42">
        <v>18</v>
      </c>
      <c r="Y85" s="42" t="s">
        <v>117</v>
      </c>
      <c r="Z85" s="42">
        <v>268408.98800000001</v>
      </c>
      <c r="AA85" s="42">
        <v>3.984</v>
      </c>
      <c r="AB85" s="42" t="s">
        <v>36</v>
      </c>
      <c r="AC85" s="42">
        <v>1</v>
      </c>
      <c r="AD85" s="42">
        <v>1</v>
      </c>
      <c r="AE85" s="42">
        <v>1069341.4099999999</v>
      </c>
    </row>
    <row r="86" spans="1:31" x14ac:dyDescent="0.2">
      <c r="A86" s="42" t="s">
        <v>917</v>
      </c>
      <c r="B86" s="42">
        <v>1</v>
      </c>
      <c r="C86" s="42" t="s">
        <v>50</v>
      </c>
      <c r="D86" s="42">
        <v>25</v>
      </c>
      <c r="E86" s="42" t="s">
        <v>175</v>
      </c>
      <c r="F86" s="42" t="s">
        <v>539</v>
      </c>
      <c r="G86" s="42">
        <v>9243</v>
      </c>
      <c r="H86" s="42" t="s">
        <v>540</v>
      </c>
      <c r="I86" s="42">
        <v>1023744.74</v>
      </c>
      <c r="J86" s="42">
        <v>1023744.74</v>
      </c>
      <c r="K86" s="42" t="b">
        <v>0</v>
      </c>
      <c r="L86" s="42">
        <v>5</v>
      </c>
      <c r="M86" s="42" t="s">
        <v>108</v>
      </c>
      <c r="N86" s="42">
        <v>4</v>
      </c>
      <c r="O86" s="42" t="s">
        <v>109</v>
      </c>
      <c r="P86" s="42">
        <v>6</v>
      </c>
      <c r="Q86" s="42" t="s">
        <v>109</v>
      </c>
      <c r="R86" s="42" t="s">
        <v>114</v>
      </c>
      <c r="U86" s="42" t="s">
        <v>121</v>
      </c>
      <c r="V86" s="42">
        <v>1</v>
      </c>
      <c r="W86" s="42" t="s">
        <v>116</v>
      </c>
      <c r="X86" s="42">
        <v>18</v>
      </c>
      <c r="Y86" s="42" t="s">
        <v>117</v>
      </c>
      <c r="Z86" s="42">
        <v>352068.484</v>
      </c>
      <c r="AA86" s="42">
        <v>2.9077999999999999</v>
      </c>
      <c r="AB86" s="42" t="s">
        <v>36</v>
      </c>
      <c r="AC86" s="42">
        <v>1</v>
      </c>
      <c r="AD86" s="42">
        <v>1</v>
      </c>
      <c r="AE86" s="42">
        <v>1023744.74</v>
      </c>
    </row>
    <row r="87" spans="1:31" x14ac:dyDescent="0.2">
      <c r="A87" s="42" t="s">
        <v>917</v>
      </c>
      <c r="B87" s="42">
        <v>1</v>
      </c>
      <c r="C87" s="42" t="s">
        <v>50</v>
      </c>
      <c r="D87" s="42">
        <v>25</v>
      </c>
      <c r="E87" s="42" t="s">
        <v>175</v>
      </c>
      <c r="F87" s="42" t="s">
        <v>362</v>
      </c>
      <c r="G87" s="42">
        <v>10019</v>
      </c>
      <c r="H87" s="42" t="s">
        <v>363</v>
      </c>
      <c r="I87" s="42">
        <v>1163707.32</v>
      </c>
      <c r="J87" s="42">
        <v>1163790.94</v>
      </c>
      <c r="K87" s="42" t="b">
        <v>1</v>
      </c>
      <c r="L87" s="42">
        <v>5</v>
      </c>
      <c r="M87" s="42" t="s">
        <v>108</v>
      </c>
      <c r="N87" s="42">
        <v>4</v>
      </c>
      <c r="O87" s="42" t="s">
        <v>109</v>
      </c>
      <c r="P87" s="42">
        <v>6</v>
      </c>
      <c r="Q87" s="42" t="s">
        <v>109</v>
      </c>
      <c r="R87" s="42" t="s">
        <v>243</v>
      </c>
      <c r="S87" s="42">
        <v>1</v>
      </c>
      <c r="T87" s="42" t="s">
        <v>205</v>
      </c>
      <c r="U87" s="42" t="s">
        <v>115</v>
      </c>
      <c r="V87" s="42">
        <v>1</v>
      </c>
      <c r="W87" s="42" t="s">
        <v>116</v>
      </c>
      <c r="X87" s="42">
        <v>22</v>
      </c>
      <c r="Y87" s="42" t="s">
        <v>217</v>
      </c>
      <c r="Z87" s="42">
        <v>19200</v>
      </c>
      <c r="AA87" s="42">
        <v>69.584999999999994</v>
      </c>
      <c r="AB87" s="42" t="s">
        <v>34</v>
      </c>
      <c r="AC87" s="42">
        <v>1.1479999999999999</v>
      </c>
      <c r="AD87" s="42">
        <v>1</v>
      </c>
      <c r="AE87" s="42">
        <v>1163790.94</v>
      </c>
    </row>
    <row r="88" spans="1:31" x14ac:dyDescent="0.2">
      <c r="A88" s="42" t="s">
        <v>917</v>
      </c>
      <c r="B88" s="42">
        <v>1</v>
      </c>
      <c r="C88" s="42" t="s">
        <v>50</v>
      </c>
      <c r="D88" s="42">
        <v>25</v>
      </c>
      <c r="E88" s="42" t="s">
        <v>175</v>
      </c>
      <c r="F88" s="42" t="s">
        <v>541</v>
      </c>
      <c r="G88" s="42">
        <v>11077</v>
      </c>
      <c r="H88" s="42" t="s">
        <v>542</v>
      </c>
      <c r="I88" s="42">
        <v>847411.88</v>
      </c>
      <c r="J88" s="42">
        <v>847411.88</v>
      </c>
      <c r="K88" s="42" t="b">
        <v>0</v>
      </c>
      <c r="L88" s="42">
        <v>5</v>
      </c>
      <c r="M88" s="42" t="s">
        <v>108</v>
      </c>
      <c r="N88" s="42">
        <v>1</v>
      </c>
      <c r="O88" s="42" t="s">
        <v>112</v>
      </c>
      <c r="P88" s="42">
        <v>242</v>
      </c>
      <c r="Q88" s="42" t="s">
        <v>349</v>
      </c>
      <c r="R88" s="42" t="s">
        <v>114</v>
      </c>
      <c r="U88" s="42" t="s">
        <v>115</v>
      </c>
      <c r="V88" s="42">
        <v>1</v>
      </c>
      <c r="W88" s="42" t="s">
        <v>116</v>
      </c>
      <c r="X88" s="42">
        <v>18</v>
      </c>
      <c r="Y88" s="42" t="s">
        <v>117</v>
      </c>
      <c r="Z88" s="42">
        <v>15257.686</v>
      </c>
      <c r="AA88" s="42">
        <v>55.54</v>
      </c>
      <c r="AB88" s="42" t="s">
        <v>36</v>
      </c>
      <c r="AC88" s="42">
        <v>1</v>
      </c>
      <c r="AD88" s="42">
        <v>1</v>
      </c>
      <c r="AE88" s="42">
        <v>847411.88</v>
      </c>
    </row>
    <row r="89" spans="1:31" x14ac:dyDescent="0.2">
      <c r="A89" s="42" t="s">
        <v>917</v>
      </c>
      <c r="B89" s="42">
        <v>1</v>
      </c>
      <c r="C89" s="42" t="s">
        <v>50</v>
      </c>
      <c r="D89" s="42">
        <v>25</v>
      </c>
      <c r="E89" s="42" t="s">
        <v>175</v>
      </c>
      <c r="F89" s="42" t="s">
        <v>543</v>
      </c>
      <c r="G89" s="42">
        <v>11078</v>
      </c>
      <c r="H89" s="42" t="s">
        <v>544</v>
      </c>
      <c r="I89" s="42">
        <v>666619.96</v>
      </c>
      <c r="J89" s="42">
        <v>666619.96</v>
      </c>
      <c r="K89" s="42" t="b">
        <v>0</v>
      </c>
      <c r="L89" s="42">
        <v>5</v>
      </c>
      <c r="M89" s="42" t="s">
        <v>108</v>
      </c>
      <c r="N89" s="42">
        <v>1</v>
      </c>
      <c r="O89" s="42" t="s">
        <v>112</v>
      </c>
      <c r="P89" s="42">
        <v>187</v>
      </c>
      <c r="Q89" s="42" t="s">
        <v>221</v>
      </c>
      <c r="R89" s="42" t="s">
        <v>114</v>
      </c>
      <c r="U89" s="42" t="s">
        <v>115</v>
      </c>
      <c r="V89" s="42">
        <v>1</v>
      </c>
      <c r="W89" s="42" t="s">
        <v>116</v>
      </c>
      <c r="X89" s="42">
        <v>18</v>
      </c>
      <c r="Y89" s="42" t="s">
        <v>117</v>
      </c>
      <c r="Z89" s="42">
        <v>52822.500999999997</v>
      </c>
      <c r="AA89" s="42">
        <v>12.62</v>
      </c>
      <c r="AB89" s="42" t="s">
        <v>36</v>
      </c>
      <c r="AC89" s="42">
        <v>1</v>
      </c>
      <c r="AD89" s="42">
        <v>1</v>
      </c>
      <c r="AE89" s="42">
        <v>666619.96</v>
      </c>
    </row>
    <row r="90" spans="1:31" x14ac:dyDescent="0.2">
      <c r="A90" s="42" t="s">
        <v>917</v>
      </c>
      <c r="B90" s="42">
        <v>1</v>
      </c>
      <c r="C90" s="42" t="s">
        <v>45</v>
      </c>
      <c r="D90" s="42">
        <v>26</v>
      </c>
      <c r="E90" s="42" t="s">
        <v>173</v>
      </c>
      <c r="F90" s="42" t="s">
        <v>545</v>
      </c>
      <c r="G90" s="42">
        <v>2558</v>
      </c>
      <c r="H90" s="42" t="s">
        <v>546</v>
      </c>
      <c r="I90" s="42">
        <v>486789.67</v>
      </c>
      <c r="J90" s="42">
        <v>486789.67</v>
      </c>
      <c r="K90" s="42" t="b">
        <v>0</v>
      </c>
      <c r="L90" s="42">
        <v>5</v>
      </c>
      <c r="M90" s="42" t="s">
        <v>108</v>
      </c>
      <c r="N90" s="42">
        <v>2</v>
      </c>
      <c r="O90" s="42" t="s">
        <v>122</v>
      </c>
      <c r="P90" s="42">
        <v>2</v>
      </c>
      <c r="Q90" s="42" t="s">
        <v>322</v>
      </c>
      <c r="R90" s="42" t="s">
        <v>114</v>
      </c>
      <c r="U90" s="42" t="s">
        <v>121</v>
      </c>
      <c r="V90" s="42">
        <v>1</v>
      </c>
      <c r="W90" s="42" t="s">
        <v>116</v>
      </c>
      <c r="X90" s="42">
        <v>18</v>
      </c>
      <c r="Y90" s="42" t="s">
        <v>117</v>
      </c>
      <c r="Z90" s="42">
        <v>192994.35800000001</v>
      </c>
      <c r="AA90" s="42">
        <v>2.5223</v>
      </c>
      <c r="AB90" s="42" t="s">
        <v>36</v>
      </c>
      <c r="AC90" s="42">
        <v>1</v>
      </c>
      <c r="AD90" s="42">
        <v>1</v>
      </c>
      <c r="AE90" s="42">
        <v>486789.67</v>
      </c>
    </row>
    <row r="91" spans="1:31" x14ac:dyDescent="0.2">
      <c r="A91" s="42" t="s">
        <v>917</v>
      </c>
      <c r="B91" s="42">
        <v>1</v>
      </c>
      <c r="C91" s="42" t="s">
        <v>45</v>
      </c>
      <c r="D91" s="42">
        <v>26</v>
      </c>
      <c r="E91" s="42" t="s">
        <v>173</v>
      </c>
      <c r="F91" s="42" t="s">
        <v>547</v>
      </c>
      <c r="G91" s="42">
        <v>2679</v>
      </c>
      <c r="H91" s="42" t="s">
        <v>548</v>
      </c>
      <c r="I91" s="42">
        <v>415834.51</v>
      </c>
      <c r="J91" s="42">
        <v>415834.51</v>
      </c>
      <c r="K91" s="42" t="b">
        <v>0</v>
      </c>
      <c r="L91" s="42">
        <v>5</v>
      </c>
      <c r="M91" s="42" t="s">
        <v>108</v>
      </c>
      <c r="N91" s="42">
        <v>2</v>
      </c>
      <c r="O91" s="42" t="s">
        <v>122</v>
      </c>
      <c r="P91" s="42">
        <v>2</v>
      </c>
      <c r="Q91" s="42" t="s">
        <v>322</v>
      </c>
      <c r="R91" s="42" t="s">
        <v>114</v>
      </c>
      <c r="U91" s="42" t="s">
        <v>121</v>
      </c>
      <c r="V91" s="42">
        <v>1</v>
      </c>
      <c r="W91" s="42" t="s">
        <v>116</v>
      </c>
      <c r="X91" s="42">
        <v>18</v>
      </c>
      <c r="Y91" s="42" t="s">
        <v>117</v>
      </c>
      <c r="Z91" s="42">
        <v>177161.94399999999</v>
      </c>
      <c r="AA91" s="42">
        <v>2.3472</v>
      </c>
      <c r="AB91" s="42" t="s">
        <v>36</v>
      </c>
      <c r="AC91" s="42">
        <v>1</v>
      </c>
      <c r="AD91" s="42">
        <v>1</v>
      </c>
      <c r="AE91" s="42">
        <v>415834.51</v>
      </c>
    </row>
    <row r="92" spans="1:31" x14ac:dyDescent="0.2">
      <c r="A92" s="42" t="s">
        <v>917</v>
      </c>
      <c r="B92" s="42">
        <v>1</v>
      </c>
      <c r="C92" s="42" t="s">
        <v>45</v>
      </c>
      <c r="D92" s="42">
        <v>26</v>
      </c>
      <c r="E92" s="42" t="s">
        <v>173</v>
      </c>
      <c r="F92" s="42" t="s">
        <v>549</v>
      </c>
      <c r="G92" s="42">
        <v>3106</v>
      </c>
      <c r="H92" s="42" t="s">
        <v>550</v>
      </c>
      <c r="I92" s="42">
        <v>392191.15</v>
      </c>
      <c r="J92" s="42">
        <v>392191.15</v>
      </c>
      <c r="K92" s="42" t="b">
        <v>0</v>
      </c>
      <c r="L92" s="42">
        <v>4</v>
      </c>
      <c r="M92" s="42" t="s">
        <v>128</v>
      </c>
      <c r="N92" s="42">
        <v>2</v>
      </c>
      <c r="O92" s="42" t="s">
        <v>122</v>
      </c>
      <c r="P92" s="42">
        <v>37</v>
      </c>
      <c r="Q92" s="42" t="s">
        <v>321</v>
      </c>
      <c r="R92" s="42" t="s">
        <v>114</v>
      </c>
      <c r="U92" s="42" t="s">
        <v>121</v>
      </c>
      <c r="V92" s="42">
        <v>1</v>
      </c>
      <c r="W92" s="42" t="s">
        <v>116</v>
      </c>
      <c r="X92" s="42">
        <v>18</v>
      </c>
      <c r="Y92" s="42" t="s">
        <v>117</v>
      </c>
      <c r="Z92" s="42">
        <v>568557.77500000002</v>
      </c>
      <c r="AA92" s="42">
        <v>0.68979999999999997</v>
      </c>
      <c r="AB92" s="42" t="s">
        <v>36</v>
      </c>
      <c r="AC92" s="42">
        <v>1</v>
      </c>
      <c r="AD92" s="42">
        <v>1</v>
      </c>
      <c r="AE92" s="42">
        <v>392191.15</v>
      </c>
    </row>
    <row r="93" spans="1:31" x14ac:dyDescent="0.2">
      <c r="A93" s="42" t="s">
        <v>917</v>
      </c>
      <c r="B93" s="42">
        <v>1</v>
      </c>
      <c r="C93" s="42" t="s">
        <v>45</v>
      </c>
      <c r="D93" s="42">
        <v>26</v>
      </c>
      <c r="E93" s="42" t="s">
        <v>173</v>
      </c>
      <c r="F93" s="42" t="s">
        <v>551</v>
      </c>
      <c r="G93" s="42">
        <v>3111</v>
      </c>
      <c r="H93" s="42" t="s">
        <v>552</v>
      </c>
      <c r="I93" s="42">
        <v>399448.29</v>
      </c>
      <c r="J93" s="42">
        <v>399448.29</v>
      </c>
      <c r="K93" s="42" t="b">
        <v>0</v>
      </c>
      <c r="L93" s="42">
        <v>4</v>
      </c>
      <c r="M93" s="42" t="s">
        <v>128</v>
      </c>
      <c r="N93" s="42">
        <v>2</v>
      </c>
      <c r="O93" s="42" t="s">
        <v>122</v>
      </c>
      <c r="P93" s="42">
        <v>37</v>
      </c>
      <c r="Q93" s="42" t="s">
        <v>321</v>
      </c>
      <c r="R93" s="42" t="s">
        <v>114</v>
      </c>
      <c r="U93" s="42" t="s">
        <v>121</v>
      </c>
      <c r="V93" s="42">
        <v>1</v>
      </c>
      <c r="W93" s="42" t="s">
        <v>116</v>
      </c>
      <c r="X93" s="42">
        <v>18</v>
      </c>
      <c r="Y93" s="42" t="s">
        <v>117</v>
      </c>
      <c r="Z93" s="42">
        <v>213073.18</v>
      </c>
      <c r="AA93" s="42">
        <v>1.8747</v>
      </c>
      <c r="AB93" s="42" t="s">
        <v>36</v>
      </c>
      <c r="AC93" s="42">
        <v>1</v>
      </c>
      <c r="AD93" s="42">
        <v>1</v>
      </c>
      <c r="AE93" s="42">
        <v>399448.29</v>
      </c>
    </row>
    <row r="94" spans="1:31" x14ac:dyDescent="0.2">
      <c r="A94" s="42" t="s">
        <v>917</v>
      </c>
      <c r="B94" s="42">
        <v>1</v>
      </c>
      <c r="C94" s="42" t="s">
        <v>45</v>
      </c>
      <c r="D94" s="42">
        <v>26</v>
      </c>
      <c r="E94" s="42" t="s">
        <v>173</v>
      </c>
      <c r="F94" s="42" t="s">
        <v>553</v>
      </c>
      <c r="G94" s="42">
        <v>3113</v>
      </c>
      <c r="H94" s="42" t="s">
        <v>554</v>
      </c>
      <c r="I94" s="42">
        <v>507719.55</v>
      </c>
      <c r="J94" s="42">
        <v>507719.55</v>
      </c>
      <c r="K94" s="42" t="b">
        <v>0</v>
      </c>
      <c r="L94" s="42">
        <v>5</v>
      </c>
      <c r="M94" s="42" t="s">
        <v>108</v>
      </c>
      <c r="N94" s="42">
        <v>28</v>
      </c>
      <c r="O94" s="42" t="s">
        <v>120</v>
      </c>
      <c r="P94" s="42">
        <v>9</v>
      </c>
      <c r="Q94" s="42" t="s">
        <v>320</v>
      </c>
      <c r="R94" s="42" t="s">
        <v>114</v>
      </c>
      <c r="U94" s="42" t="s">
        <v>121</v>
      </c>
      <c r="V94" s="42">
        <v>1</v>
      </c>
      <c r="W94" s="42" t="s">
        <v>116</v>
      </c>
      <c r="X94" s="42">
        <v>18</v>
      </c>
      <c r="Y94" s="42" t="s">
        <v>117</v>
      </c>
      <c r="Z94" s="42">
        <v>695696.83</v>
      </c>
      <c r="AA94" s="42">
        <v>0.7298</v>
      </c>
      <c r="AB94" s="42" t="s">
        <v>36</v>
      </c>
      <c r="AC94" s="42">
        <v>1</v>
      </c>
      <c r="AD94" s="42">
        <v>1</v>
      </c>
      <c r="AE94" s="42">
        <v>507719.55</v>
      </c>
    </row>
    <row r="95" spans="1:31" x14ac:dyDescent="0.2">
      <c r="A95" s="42" t="s">
        <v>917</v>
      </c>
      <c r="B95" s="42">
        <v>1</v>
      </c>
      <c r="C95" s="42" t="s">
        <v>45</v>
      </c>
      <c r="D95" s="42">
        <v>26</v>
      </c>
      <c r="E95" s="42" t="s">
        <v>173</v>
      </c>
      <c r="F95" s="42" t="s">
        <v>555</v>
      </c>
      <c r="G95" s="42">
        <v>3114</v>
      </c>
      <c r="H95" s="42" t="s">
        <v>556</v>
      </c>
      <c r="I95" s="42">
        <v>846460.66</v>
      </c>
      <c r="J95" s="42">
        <v>846460.66</v>
      </c>
      <c r="K95" s="42" t="b">
        <v>0</v>
      </c>
      <c r="L95" s="42">
        <v>5</v>
      </c>
      <c r="M95" s="42" t="s">
        <v>108</v>
      </c>
      <c r="N95" s="42">
        <v>4</v>
      </c>
      <c r="O95" s="42" t="s">
        <v>109</v>
      </c>
      <c r="P95" s="42">
        <v>6</v>
      </c>
      <c r="Q95" s="42" t="s">
        <v>109</v>
      </c>
      <c r="R95" s="42" t="s">
        <v>114</v>
      </c>
      <c r="U95" s="42" t="s">
        <v>121</v>
      </c>
      <c r="V95" s="42">
        <v>1</v>
      </c>
      <c r="W95" s="42" t="s">
        <v>116</v>
      </c>
      <c r="X95" s="42">
        <v>18</v>
      </c>
      <c r="Y95" s="42" t="s">
        <v>117</v>
      </c>
      <c r="Z95" s="42">
        <v>293879.34000000003</v>
      </c>
      <c r="AA95" s="42">
        <v>2.8803000000000001</v>
      </c>
      <c r="AB95" s="42" t="s">
        <v>36</v>
      </c>
      <c r="AC95" s="42">
        <v>1</v>
      </c>
      <c r="AD95" s="42">
        <v>1</v>
      </c>
      <c r="AE95" s="42">
        <v>846460.66</v>
      </c>
    </row>
    <row r="96" spans="1:31" x14ac:dyDescent="0.2">
      <c r="A96" s="42" t="s">
        <v>917</v>
      </c>
      <c r="B96" s="42">
        <v>1</v>
      </c>
      <c r="C96" s="42" t="s">
        <v>45</v>
      </c>
      <c r="D96" s="42">
        <v>26</v>
      </c>
      <c r="E96" s="42" t="s">
        <v>173</v>
      </c>
      <c r="F96" s="42" t="s">
        <v>557</v>
      </c>
      <c r="G96" s="42">
        <v>3120</v>
      </c>
      <c r="H96" s="42" t="s">
        <v>558</v>
      </c>
      <c r="I96" s="42">
        <v>408903.87</v>
      </c>
      <c r="J96" s="42">
        <v>408903.87</v>
      </c>
      <c r="K96" s="42" t="b">
        <v>0</v>
      </c>
      <c r="L96" s="42">
        <v>4</v>
      </c>
      <c r="M96" s="42" t="s">
        <v>128</v>
      </c>
      <c r="N96" s="42">
        <v>1</v>
      </c>
      <c r="O96" s="42" t="s">
        <v>112</v>
      </c>
      <c r="P96" s="42">
        <v>37</v>
      </c>
      <c r="Q96" s="42" t="s">
        <v>321</v>
      </c>
      <c r="R96" s="42" t="s">
        <v>114</v>
      </c>
      <c r="U96" s="42" t="s">
        <v>121</v>
      </c>
      <c r="V96" s="42">
        <v>1</v>
      </c>
      <c r="W96" s="42" t="s">
        <v>116</v>
      </c>
      <c r="X96" s="42">
        <v>18</v>
      </c>
      <c r="Y96" s="42" t="s">
        <v>117</v>
      </c>
      <c r="Z96" s="42">
        <v>560372.57200000004</v>
      </c>
      <c r="AA96" s="42">
        <v>0.72970000000000002</v>
      </c>
      <c r="AB96" s="42" t="s">
        <v>36</v>
      </c>
      <c r="AC96" s="42">
        <v>1</v>
      </c>
      <c r="AD96" s="42">
        <v>1</v>
      </c>
      <c r="AE96" s="42">
        <v>408903.87</v>
      </c>
    </row>
    <row r="97" spans="1:31" x14ac:dyDescent="0.2">
      <c r="A97" s="42" t="s">
        <v>917</v>
      </c>
      <c r="B97" s="42">
        <v>1</v>
      </c>
      <c r="C97" s="42" t="s">
        <v>45</v>
      </c>
      <c r="D97" s="42">
        <v>26</v>
      </c>
      <c r="E97" s="42" t="s">
        <v>173</v>
      </c>
      <c r="F97" s="42" t="s">
        <v>160</v>
      </c>
      <c r="G97" s="42">
        <v>4100</v>
      </c>
      <c r="H97" s="42" t="s">
        <v>161</v>
      </c>
      <c r="I97" s="42">
        <v>454346.7</v>
      </c>
      <c r="J97" s="42">
        <v>454346.7</v>
      </c>
      <c r="K97" s="42" t="b">
        <v>0</v>
      </c>
      <c r="L97" s="42">
        <v>5</v>
      </c>
      <c r="M97" s="42" t="s">
        <v>108</v>
      </c>
      <c r="N97" s="42">
        <v>2</v>
      </c>
      <c r="O97" s="42" t="s">
        <v>122</v>
      </c>
      <c r="P97" s="42">
        <v>2</v>
      </c>
      <c r="Q97" s="42" t="s">
        <v>322</v>
      </c>
      <c r="R97" s="42" t="s">
        <v>114</v>
      </c>
      <c r="U97" s="42" t="s">
        <v>121</v>
      </c>
      <c r="V97" s="42">
        <v>1</v>
      </c>
      <c r="W97" s="42" t="s">
        <v>116</v>
      </c>
      <c r="X97" s="42">
        <v>18</v>
      </c>
      <c r="Y97" s="42" t="s">
        <v>117</v>
      </c>
      <c r="Z97" s="42">
        <v>176308.38200000001</v>
      </c>
      <c r="AA97" s="42">
        <v>2.577</v>
      </c>
      <c r="AB97" s="42" t="s">
        <v>36</v>
      </c>
      <c r="AC97" s="42">
        <v>1</v>
      </c>
      <c r="AD97" s="42">
        <v>1</v>
      </c>
      <c r="AE97" s="42">
        <v>454346.7</v>
      </c>
    </row>
    <row r="98" spans="1:31" x14ac:dyDescent="0.2">
      <c r="A98" s="42" t="s">
        <v>917</v>
      </c>
      <c r="B98" s="42">
        <v>1</v>
      </c>
      <c r="C98" s="42" t="s">
        <v>45</v>
      </c>
      <c r="D98" s="42">
        <v>26</v>
      </c>
      <c r="E98" s="42" t="s">
        <v>173</v>
      </c>
      <c r="F98" s="42" t="s">
        <v>559</v>
      </c>
      <c r="G98" s="42">
        <v>4465</v>
      </c>
      <c r="H98" s="42" t="s">
        <v>560</v>
      </c>
      <c r="I98" s="42">
        <v>320981.36</v>
      </c>
      <c r="J98" s="42">
        <v>320981.36</v>
      </c>
      <c r="K98" s="42" t="b">
        <v>0</v>
      </c>
      <c r="L98" s="42">
        <v>5</v>
      </c>
      <c r="M98" s="42" t="s">
        <v>108</v>
      </c>
      <c r="N98" s="42">
        <v>5</v>
      </c>
      <c r="O98" s="42" t="s">
        <v>143</v>
      </c>
      <c r="P98" s="42">
        <v>55</v>
      </c>
      <c r="Q98" s="42" t="s">
        <v>143</v>
      </c>
      <c r="R98" s="42" t="s">
        <v>114</v>
      </c>
      <c r="U98" s="42" t="s">
        <v>121</v>
      </c>
      <c r="V98" s="42">
        <v>1</v>
      </c>
      <c r="W98" s="42" t="s">
        <v>116</v>
      </c>
      <c r="X98" s="42">
        <v>18</v>
      </c>
      <c r="Y98" s="42" t="s">
        <v>117</v>
      </c>
      <c r="Z98" s="42">
        <v>457368.70199999999</v>
      </c>
      <c r="AA98" s="42">
        <v>0.70179999999999998</v>
      </c>
      <c r="AB98" s="42" t="s">
        <v>36</v>
      </c>
      <c r="AC98" s="42">
        <v>1</v>
      </c>
      <c r="AD98" s="42">
        <v>1</v>
      </c>
      <c r="AE98" s="42">
        <v>320981.36</v>
      </c>
    </row>
    <row r="99" spans="1:31" x14ac:dyDescent="0.2">
      <c r="A99" s="42" t="s">
        <v>917</v>
      </c>
      <c r="B99" s="42">
        <v>1</v>
      </c>
      <c r="C99" s="42" t="s">
        <v>45</v>
      </c>
      <c r="D99" s="42">
        <v>26</v>
      </c>
      <c r="E99" s="42" t="s">
        <v>173</v>
      </c>
      <c r="F99" s="42" t="s">
        <v>196</v>
      </c>
      <c r="G99" s="42">
        <v>4652</v>
      </c>
      <c r="H99" s="42" t="s">
        <v>281</v>
      </c>
      <c r="I99" s="42">
        <v>839182.07</v>
      </c>
      <c r="J99" s="42">
        <v>839182.07</v>
      </c>
      <c r="K99" s="42" t="b">
        <v>0</v>
      </c>
      <c r="L99" s="42">
        <v>5</v>
      </c>
      <c r="M99" s="42" t="s">
        <v>108</v>
      </c>
      <c r="N99" s="42">
        <v>4</v>
      </c>
      <c r="O99" s="42" t="s">
        <v>109</v>
      </c>
      <c r="P99" s="42">
        <v>6</v>
      </c>
      <c r="Q99" s="42" t="s">
        <v>109</v>
      </c>
      <c r="R99" s="42" t="s">
        <v>114</v>
      </c>
      <c r="U99" s="42" t="s">
        <v>121</v>
      </c>
      <c r="V99" s="42">
        <v>1</v>
      </c>
      <c r="W99" s="42" t="s">
        <v>116</v>
      </c>
      <c r="X99" s="42">
        <v>18</v>
      </c>
      <c r="Y99" s="42" t="s">
        <v>117</v>
      </c>
      <c r="Z99" s="42">
        <v>141904.742</v>
      </c>
      <c r="AA99" s="42">
        <v>5.9137000000000004</v>
      </c>
      <c r="AB99" s="42" t="s">
        <v>36</v>
      </c>
      <c r="AC99" s="42">
        <v>1</v>
      </c>
      <c r="AD99" s="42">
        <v>1</v>
      </c>
      <c r="AE99" s="42">
        <v>839182.07</v>
      </c>
    </row>
    <row r="100" spans="1:31" x14ac:dyDescent="0.2">
      <c r="A100" s="42" t="s">
        <v>917</v>
      </c>
      <c r="B100" s="42">
        <v>1</v>
      </c>
      <c r="C100" s="42" t="s">
        <v>45</v>
      </c>
      <c r="D100" s="42">
        <v>26</v>
      </c>
      <c r="E100" s="42" t="s">
        <v>173</v>
      </c>
      <c r="F100" s="42" t="s">
        <v>561</v>
      </c>
      <c r="G100" s="42">
        <v>6762</v>
      </c>
      <c r="H100" s="42" t="s">
        <v>562</v>
      </c>
      <c r="I100" s="42">
        <v>429174</v>
      </c>
      <c r="J100" s="42">
        <v>429174</v>
      </c>
      <c r="K100" s="42" t="b">
        <v>0</v>
      </c>
      <c r="L100" s="42">
        <v>5</v>
      </c>
      <c r="M100" s="42" t="s">
        <v>108</v>
      </c>
      <c r="N100" s="42">
        <v>29</v>
      </c>
      <c r="O100" s="42" t="s">
        <v>142</v>
      </c>
      <c r="P100" s="42">
        <v>3</v>
      </c>
      <c r="Q100" s="42" t="s">
        <v>325</v>
      </c>
      <c r="R100" s="42" t="s">
        <v>114</v>
      </c>
      <c r="U100" s="42" t="s">
        <v>121</v>
      </c>
      <c r="V100" s="42">
        <v>1</v>
      </c>
      <c r="W100" s="42" t="s">
        <v>116</v>
      </c>
      <c r="X100" s="42">
        <v>18</v>
      </c>
      <c r="Y100" s="42" t="s">
        <v>117</v>
      </c>
      <c r="Z100" s="42">
        <v>240973.61</v>
      </c>
      <c r="AA100" s="42">
        <v>1.7809999999999999</v>
      </c>
      <c r="AB100" s="42" t="s">
        <v>36</v>
      </c>
      <c r="AC100" s="42">
        <v>1</v>
      </c>
      <c r="AD100" s="42">
        <v>1</v>
      </c>
      <c r="AE100" s="42">
        <v>429174</v>
      </c>
    </row>
    <row r="101" spans="1:31" x14ac:dyDescent="0.2">
      <c r="A101" s="42" t="s">
        <v>917</v>
      </c>
      <c r="B101" s="42">
        <v>1</v>
      </c>
      <c r="C101" s="42" t="s">
        <v>45</v>
      </c>
      <c r="D101" s="42">
        <v>26</v>
      </c>
      <c r="E101" s="42" t="s">
        <v>173</v>
      </c>
      <c r="F101" s="42" t="s">
        <v>493</v>
      </c>
      <c r="G101" s="42">
        <v>8405</v>
      </c>
      <c r="H101" s="42" t="s">
        <v>494</v>
      </c>
      <c r="I101" s="42">
        <v>521366.06</v>
      </c>
      <c r="J101" s="42">
        <v>521366.06</v>
      </c>
      <c r="K101" s="42" t="b">
        <v>0</v>
      </c>
      <c r="L101" s="42">
        <v>5</v>
      </c>
      <c r="M101" s="42" t="s">
        <v>108</v>
      </c>
      <c r="N101" s="42">
        <v>2</v>
      </c>
      <c r="O101" s="42" t="s">
        <v>122</v>
      </c>
      <c r="P101" s="42">
        <v>2</v>
      </c>
      <c r="Q101" s="42" t="s">
        <v>322</v>
      </c>
      <c r="R101" s="42" t="s">
        <v>114</v>
      </c>
      <c r="U101" s="42" t="s">
        <v>121</v>
      </c>
      <c r="V101" s="42">
        <v>1</v>
      </c>
      <c r="W101" s="42" t="s">
        <v>116</v>
      </c>
      <c r="X101" s="42">
        <v>18</v>
      </c>
      <c r="Y101" s="42" t="s">
        <v>117</v>
      </c>
      <c r="Z101" s="42">
        <v>41233.94</v>
      </c>
      <c r="AA101" s="42">
        <v>12.6441</v>
      </c>
      <c r="AB101" s="42" t="s">
        <v>36</v>
      </c>
      <c r="AC101" s="42">
        <v>1</v>
      </c>
      <c r="AD101" s="42">
        <v>1</v>
      </c>
      <c r="AE101" s="42">
        <v>521366.06</v>
      </c>
    </row>
    <row r="102" spans="1:31" x14ac:dyDescent="0.2">
      <c r="A102" s="42" t="s">
        <v>917</v>
      </c>
      <c r="B102" s="42">
        <v>1</v>
      </c>
      <c r="C102" s="42" t="s">
        <v>45</v>
      </c>
      <c r="D102" s="42">
        <v>26</v>
      </c>
      <c r="E102" s="42" t="s">
        <v>173</v>
      </c>
      <c r="F102" s="42" t="s">
        <v>563</v>
      </c>
      <c r="G102" s="42">
        <v>9244</v>
      </c>
      <c r="H102" s="42" t="s">
        <v>564</v>
      </c>
      <c r="I102" s="42">
        <v>397621.91</v>
      </c>
      <c r="J102" s="42">
        <v>397621.91</v>
      </c>
      <c r="K102" s="42" t="b">
        <v>0</v>
      </c>
      <c r="L102" s="42">
        <v>4</v>
      </c>
      <c r="M102" s="42" t="s">
        <v>128</v>
      </c>
      <c r="N102" s="42">
        <v>1</v>
      </c>
      <c r="O102" s="42" t="s">
        <v>112</v>
      </c>
      <c r="P102" s="42">
        <v>37</v>
      </c>
      <c r="Q102" s="42" t="s">
        <v>321</v>
      </c>
      <c r="R102" s="42" t="s">
        <v>114</v>
      </c>
      <c r="U102" s="42" t="s">
        <v>121</v>
      </c>
      <c r="V102" s="42">
        <v>1</v>
      </c>
      <c r="W102" s="42" t="s">
        <v>116</v>
      </c>
      <c r="X102" s="42">
        <v>18</v>
      </c>
      <c r="Y102" s="42" t="s">
        <v>117</v>
      </c>
      <c r="Z102" s="42">
        <v>527559.91799999995</v>
      </c>
      <c r="AA102" s="42">
        <v>0.75370000000000004</v>
      </c>
      <c r="AB102" s="42" t="s">
        <v>36</v>
      </c>
      <c r="AC102" s="42">
        <v>1</v>
      </c>
      <c r="AD102" s="42">
        <v>1</v>
      </c>
      <c r="AE102" s="42">
        <v>397621.91</v>
      </c>
    </row>
    <row r="103" spans="1:31" x14ac:dyDescent="0.2">
      <c r="A103" s="42" t="s">
        <v>917</v>
      </c>
      <c r="B103" s="42">
        <v>1</v>
      </c>
      <c r="C103" s="42" t="s">
        <v>45</v>
      </c>
      <c r="D103" s="42">
        <v>26</v>
      </c>
      <c r="E103" s="42" t="s">
        <v>173</v>
      </c>
      <c r="F103" s="42" t="s">
        <v>565</v>
      </c>
      <c r="G103" s="42">
        <v>9245</v>
      </c>
      <c r="H103" s="42" t="s">
        <v>566</v>
      </c>
      <c r="I103" s="42">
        <v>845975.26</v>
      </c>
      <c r="J103" s="42">
        <v>845975.26</v>
      </c>
      <c r="K103" s="42" t="b">
        <v>0</v>
      </c>
      <c r="L103" s="42">
        <v>5</v>
      </c>
      <c r="M103" s="42" t="s">
        <v>108</v>
      </c>
      <c r="N103" s="42">
        <v>4</v>
      </c>
      <c r="O103" s="42" t="s">
        <v>109</v>
      </c>
      <c r="P103" s="42">
        <v>6</v>
      </c>
      <c r="Q103" s="42" t="s">
        <v>109</v>
      </c>
      <c r="R103" s="42" t="s">
        <v>114</v>
      </c>
      <c r="U103" s="42" t="s">
        <v>121</v>
      </c>
      <c r="V103" s="42">
        <v>1</v>
      </c>
      <c r="W103" s="42" t="s">
        <v>116</v>
      </c>
      <c r="X103" s="42">
        <v>18</v>
      </c>
      <c r="Y103" s="42" t="s">
        <v>117</v>
      </c>
      <c r="Z103" s="42">
        <v>1405.7343000000001</v>
      </c>
      <c r="AA103" s="42">
        <v>601.80309999999997</v>
      </c>
      <c r="AB103" s="42" t="s">
        <v>36</v>
      </c>
      <c r="AC103" s="42">
        <v>1</v>
      </c>
      <c r="AD103" s="42">
        <v>1</v>
      </c>
      <c r="AE103" s="42">
        <v>845975.26</v>
      </c>
    </row>
    <row r="104" spans="1:31" x14ac:dyDescent="0.2">
      <c r="A104" s="42" t="s">
        <v>917</v>
      </c>
      <c r="B104" s="42">
        <v>1</v>
      </c>
      <c r="C104" s="42" t="s">
        <v>45</v>
      </c>
      <c r="D104" s="42">
        <v>26</v>
      </c>
      <c r="E104" s="42" t="s">
        <v>173</v>
      </c>
      <c r="F104" s="42" t="s">
        <v>344</v>
      </c>
      <c r="G104" s="42">
        <v>10176</v>
      </c>
      <c r="H104" s="42" t="s">
        <v>345</v>
      </c>
      <c r="I104" s="42">
        <v>474443.43</v>
      </c>
      <c r="J104" s="42">
        <v>474443.43</v>
      </c>
      <c r="K104" s="42" t="b">
        <v>0</v>
      </c>
      <c r="L104" s="42">
        <v>5</v>
      </c>
      <c r="M104" s="42" t="s">
        <v>108</v>
      </c>
      <c r="N104" s="42">
        <v>2</v>
      </c>
      <c r="O104" s="42" t="s">
        <v>122</v>
      </c>
      <c r="P104" s="42">
        <v>2</v>
      </c>
      <c r="Q104" s="42" t="s">
        <v>322</v>
      </c>
      <c r="R104" s="42" t="s">
        <v>114</v>
      </c>
      <c r="U104" s="42" t="s">
        <v>121</v>
      </c>
      <c r="V104" s="42">
        <v>1</v>
      </c>
      <c r="W104" s="42" t="s">
        <v>116</v>
      </c>
      <c r="X104" s="42">
        <v>18</v>
      </c>
      <c r="Y104" s="42" t="s">
        <v>117</v>
      </c>
      <c r="Z104" s="42">
        <v>412667.16</v>
      </c>
      <c r="AA104" s="42">
        <v>1.1496999999999999</v>
      </c>
      <c r="AB104" s="42" t="s">
        <v>36</v>
      </c>
      <c r="AC104" s="42">
        <v>1</v>
      </c>
      <c r="AD104" s="42">
        <v>1</v>
      </c>
      <c r="AE104" s="42">
        <v>474443.43</v>
      </c>
    </row>
    <row r="105" spans="1:31" x14ac:dyDescent="0.2">
      <c r="A105" s="42" t="s">
        <v>917</v>
      </c>
      <c r="B105" s="42">
        <v>1</v>
      </c>
      <c r="C105" s="42" t="s">
        <v>45</v>
      </c>
      <c r="D105" s="42">
        <v>26</v>
      </c>
      <c r="E105" s="42" t="s">
        <v>173</v>
      </c>
      <c r="F105" s="42" t="s">
        <v>567</v>
      </c>
      <c r="G105" s="42">
        <v>11815</v>
      </c>
      <c r="H105" s="42" t="s">
        <v>568</v>
      </c>
      <c r="I105" s="42">
        <v>426666.67</v>
      </c>
      <c r="J105" s="42">
        <v>426666.67</v>
      </c>
      <c r="K105" s="42" t="b">
        <v>0</v>
      </c>
      <c r="L105" s="42">
        <v>5</v>
      </c>
      <c r="M105" s="42" t="s">
        <v>108</v>
      </c>
      <c r="N105" s="42">
        <v>1</v>
      </c>
      <c r="O105" s="42" t="s">
        <v>112</v>
      </c>
      <c r="P105" s="42">
        <v>115</v>
      </c>
      <c r="Q105" s="42" t="s">
        <v>254</v>
      </c>
      <c r="R105" s="42" t="s">
        <v>114</v>
      </c>
      <c r="U105" s="42" t="s">
        <v>121</v>
      </c>
      <c r="V105" s="42">
        <v>1</v>
      </c>
      <c r="W105" s="42" t="s">
        <v>116</v>
      </c>
      <c r="X105" s="42">
        <v>18</v>
      </c>
      <c r="Y105" s="42" t="s">
        <v>117</v>
      </c>
      <c r="Z105" s="42">
        <v>327198.364</v>
      </c>
      <c r="AA105" s="42">
        <v>1.304</v>
      </c>
      <c r="AB105" s="42" t="s">
        <v>36</v>
      </c>
      <c r="AC105" s="42">
        <v>1</v>
      </c>
      <c r="AD105" s="42">
        <v>1</v>
      </c>
      <c r="AE105" s="42">
        <v>426666.67</v>
      </c>
    </row>
    <row r="106" spans="1:31" x14ac:dyDescent="0.2">
      <c r="A106" s="42" t="s">
        <v>917</v>
      </c>
      <c r="B106" s="42">
        <v>1</v>
      </c>
      <c r="C106" s="42" t="s">
        <v>45</v>
      </c>
      <c r="D106" s="42">
        <v>26</v>
      </c>
      <c r="E106" s="42" t="s">
        <v>173</v>
      </c>
      <c r="F106" s="42" t="s">
        <v>569</v>
      </c>
      <c r="G106" s="42">
        <v>12115</v>
      </c>
      <c r="H106" s="42" t="s">
        <v>570</v>
      </c>
      <c r="I106" s="42">
        <v>403364.25</v>
      </c>
      <c r="J106" s="42">
        <v>403364.25</v>
      </c>
      <c r="K106" s="42" t="b">
        <v>0</v>
      </c>
      <c r="L106" s="42">
        <v>5</v>
      </c>
      <c r="M106" s="42" t="s">
        <v>108</v>
      </c>
      <c r="N106" s="42">
        <v>29</v>
      </c>
      <c r="O106" s="42" t="s">
        <v>142</v>
      </c>
      <c r="P106" s="42">
        <v>3</v>
      </c>
      <c r="Q106" s="42" t="s">
        <v>325</v>
      </c>
      <c r="R106" s="42" t="s">
        <v>114</v>
      </c>
      <c r="U106" s="42" t="s">
        <v>121</v>
      </c>
      <c r="V106" s="42">
        <v>1</v>
      </c>
      <c r="W106" s="42" t="s">
        <v>116</v>
      </c>
      <c r="X106" s="42">
        <v>18</v>
      </c>
      <c r="Y106" s="42" t="s">
        <v>117</v>
      </c>
      <c r="Z106" s="42">
        <v>280191.89299999998</v>
      </c>
      <c r="AA106" s="42">
        <v>1.4396</v>
      </c>
      <c r="AB106" s="42" t="s">
        <v>36</v>
      </c>
      <c r="AC106" s="42">
        <v>1</v>
      </c>
      <c r="AD106" s="42">
        <v>1</v>
      </c>
      <c r="AE106" s="42">
        <v>403364.25</v>
      </c>
    </row>
    <row r="107" spans="1:31" x14ac:dyDescent="0.2">
      <c r="A107" s="42" t="s">
        <v>917</v>
      </c>
      <c r="B107" s="42">
        <v>1</v>
      </c>
      <c r="C107" s="42" t="s">
        <v>54</v>
      </c>
      <c r="D107" s="42">
        <v>65</v>
      </c>
      <c r="E107" s="42" t="s">
        <v>177</v>
      </c>
      <c r="F107" s="42" t="s">
        <v>123</v>
      </c>
      <c r="G107" s="42">
        <v>2529</v>
      </c>
      <c r="H107" s="42" t="s">
        <v>124</v>
      </c>
      <c r="I107" s="42">
        <v>3094083.94</v>
      </c>
      <c r="J107" s="42">
        <v>3094083.94</v>
      </c>
      <c r="K107" s="42" t="b">
        <v>0</v>
      </c>
      <c r="L107" s="42">
        <v>5</v>
      </c>
      <c r="M107" s="42" t="s">
        <v>108</v>
      </c>
      <c r="N107" s="42">
        <v>2</v>
      </c>
      <c r="O107" s="42" t="s">
        <v>122</v>
      </c>
      <c r="P107" s="42">
        <v>1</v>
      </c>
      <c r="Q107" s="42" t="s">
        <v>326</v>
      </c>
      <c r="R107" s="42" t="s">
        <v>114</v>
      </c>
      <c r="U107" s="42" t="s">
        <v>121</v>
      </c>
      <c r="V107" s="42">
        <v>1</v>
      </c>
      <c r="W107" s="42" t="s">
        <v>116</v>
      </c>
      <c r="X107" s="42">
        <v>18</v>
      </c>
      <c r="Y107" s="42" t="s">
        <v>117</v>
      </c>
      <c r="Z107" s="42">
        <v>12478.263199999999</v>
      </c>
      <c r="AA107" s="42">
        <v>247.9579</v>
      </c>
      <c r="AB107" s="42" t="s">
        <v>36</v>
      </c>
      <c r="AC107" s="42">
        <v>1</v>
      </c>
      <c r="AD107" s="42">
        <v>1</v>
      </c>
      <c r="AE107" s="42">
        <v>3094083.94</v>
      </c>
    </row>
    <row r="108" spans="1:31" x14ac:dyDescent="0.2">
      <c r="A108" s="42" t="s">
        <v>917</v>
      </c>
      <c r="B108" s="42">
        <v>1</v>
      </c>
      <c r="C108" s="42" t="s">
        <v>54</v>
      </c>
      <c r="D108" s="42">
        <v>65</v>
      </c>
      <c r="E108" s="42" t="s">
        <v>177</v>
      </c>
      <c r="F108" s="42" t="s">
        <v>499</v>
      </c>
      <c r="G108" s="42">
        <v>2568</v>
      </c>
      <c r="H108" s="42" t="s">
        <v>500</v>
      </c>
      <c r="I108" s="42">
        <v>3101505.17</v>
      </c>
      <c r="J108" s="42">
        <v>3101505.17</v>
      </c>
      <c r="K108" s="42" t="b">
        <v>0</v>
      </c>
      <c r="L108" s="42">
        <v>5</v>
      </c>
      <c r="M108" s="42" t="s">
        <v>108</v>
      </c>
      <c r="N108" s="42">
        <v>2</v>
      </c>
      <c r="O108" s="42" t="s">
        <v>122</v>
      </c>
      <c r="P108" s="42">
        <v>1</v>
      </c>
      <c r="Q108" s="42" t="s">
        <v>326</v>
      </c>
      <c r="R108" s="42" t="s">
        <v>114</v>
      </c>
      <c r="U108" s="42" t="s">
        <v>121</v>
      </c>
      <c r="V108" s="42">
        <v>1</v>
      </c>
      <c r="W108" s="42" t="s">
        <v>116</v>
      </c>
      <c r="X108" s="42">
        <v>18</v>
      </c>
      <c r="Y108" s="42" t="s">
        <v>117</v>
      </c>
      <c r="Z108" s="42">
        <v>1008816.41</v>
      </c>
      <c r="AA108" s="42">
        <v>3.0743999999999998</v>
      </c>
      <c r="AB108" s="42" t="s">
        <v>36</v>
      </c>
      <c r="AC108" s="42">
        <v>1</v>
      </c>
      <c r="AD108" s="42">
        <v>1</v>
      </c>
      <c r="AE108" s="42">
        <v>3101505.17</v>
      </c>
    </row>
    <row r="109" spans="1:31" x14ac:dyDescent="0.2">
      <c r="A109" s="42" t="s">
        <v>917</v>
      </c>
      <c r="B109" s="42">
        <v>1</v>
      </c>
      <c r="C109" s="42" t="s">
        <v>54</v>
      </c>
      <c r="D109" s="42">
        <v>65</v>
      </c>
      <c r="E109" s="42" t="s">
        <v>177</v>
      </c>
      <c r="F109" s="42" t="s">
        <v>571</v>
      </c>
      <c r="G109" s="42">
        <v>2772</v>
      </c>
      <c r="H109" s="42" t="s">
        <v>572</v>
      </c>
      <c r="I109" s="42">
        <v>2459550.2000000002</v>
      </c>
      <c r="J109" s="42">
        <v>2459550.2000000002</v>
      </c>
      <c r="K109" s="42" t="b">
        <v>0</v>
      </c>
      <c r="L109" s="42">
        <v>5</v>
      </c>
      <c r="M109" s="42" t="s">
        <v>108</v>
      </c>
      <c r="N109" s="42">
        <v>2</v>
      </c>
      <c r="O109" s="42" t="s">
        <v>122</v>
      </c>
      <c r="P109" s="42">
        <v>2</v>
      </c>
      <c r="Q109" s="42" t="s">
        <v>322</v>
      </c>
      <c r="R109" s="42" t="s">
        <v>114</v>
      </c>
      <c r="U109" s="42" t="s">
        <v>121</v>
      </c>
      <c r="V109" s="42">
        <v>1</v>
      </c>
      <c r="W109" s="42" t="s">
        <v>116</v>
      </c>
      <c r="X109" s="42">
        <v>18</v>
      </c>
      <c r="Y109" s="42" t="s">
        <v>117</v>
      </c>
      <c r="Z109" s="42">
        <v>1017183.7070000001</v>
      </c>
      <c r="AA109" s="42">
        <v>2.4180000000000001</v>
      </c>
      <c r="AB109" s="42" t="s">
        <v>36</v>
      </c>
      <c r="AC109" s="42">
        <v>1</v>
      </c>
      <c r="AD109" s="42">
        <v>1</v>
      </c>
      <c r="AE109" s="42">
        <v>2459550.2000000002</v>
      </c>
    </row>
    <row r="110" spans="1:31" x14ac:dyDescent="0.2">
      <c r="A110" s="42" t="s">
        <v>917</v>
      </c>
      <c r="B110" s="42">
        <v>1</v>
      </c>
      <c r="C110" s="42" t="s">
        <v>54</v>
      </c>
      <c r="D110" s="42">
        <v>65</v>
      </c>
      <c r="E110" s="42" t="s">
        <v>177</v>
      </c>
      <c r="F110" s="42" t="s">
        <v>132</v>
      </c>
      <c r="G110" s="42">
        <v>2856</v>
      </c>
      <c r="H110" s="42" t="s">
        <v>133</v>
      </c>
      <c r="I110" s="42">
        <v>4002815.83</v>
      </c>
      <c r="J110" s="42">
        <v>4002815.83</v>
      </c>
      <c r="K110" s="42" t="b">
        <v>0</v>
      </c>
      <c r="L110" s="42">
        <v>5</v>
      </c>
      <c r="M110" s="42" t="s">
        <v>108</v>
      </c>
      <c r="N110" s="42">
        <v>4</v>
      </c>
      <c r="O110" s="42" t="s">
        <v>109</v>
      </c>
      <c r="P110" s="42">
        <v>6</v>
      </c>
      <c r="Q110" s="42" t="s">
        <v>109</v>
      </c>
      <c r="R110" s="42" t="s">
        <v>114</v>
      </c>
      <c r="U110" s="42" t="s">
        <v>121</v>
      </c>
      <c r="V110" s="42">
        <v>1</v>
      </c>
      <c r="W110" s="42" t="s">
        <v>116</v>
      </c>
      <c r="X110" s="42">
        <v>18</v>
      </c>
      <c r="Y110" s="42" t="s">
        <v>117</v>
      </c>
      <c r="Z110" s="42">
        <v>1157518.82</v>
      </c>
      <c r="AA110" s="42">
        <v>3.4581</v>
      </c>
      <c r="AB110" s="42" t="s">
        <v>36</v>
      </c>
      <c r="AC110" s="42">
        <v>1</v>
      </c>
      <c r="AD110" s="42">
        <v>1</v>
      </c>
      <c r="AE110" s="42">
        <v>4002815.83</v>
      </c>
    </row>
    <row r="111" spans="1:31" x14ac:dyDescent="0.2">
      <c r="A111" s="42" t="s">
        <v>917</v>
      </c>
      <c r="B111" s="42">
        <v>1</v>
      </c>
      <c r="C111" s="42" t="s">
        <v>54</v>
      </c>
      <c r="D111" s="42">
        <v>65</v>
      </c>
      <c r="E111" s="42" t="s">
        <v>177</v>
      </c>
      <c r="F111" s="42" t="s">
        <v>134</v>
      </c>
      <c r="G111" s="42">
        <v>2865</v>
      </c>
      <c r="H111" s="42" t="s">
        <v>135</v>
      </c>
      <c r="I111" s="42">
        <v>2477715.98</v>
      </c>
      <c r="J111" s="42">
        <v>2477715.98</v>
      </c>
      <c r="K111" s="42" t="b">
        <v>0</v>
      </c>
      <c r="L111" s="42">
        <v>4</v>
      </c>
      <c r="M111" s="42" t="s">
        <v>128</v>
      </c>
      <c r="N111" s="42">
        <v>1</v>
      </c>
      <c r="O111" s="42" t="s">
        <v>112</v>
      </c>
      <c r="P111" s="42">
        <v>14</v>
      </c>
      <c r="Q111" s="42" t="s">
        <v>323</v>
      </c>
      <c r="R111" s="42" t="s">
        <v>114</v>
      </c>
      <c r="U111" s="42" t="s">
        <v>121</v>
      </c>
      <c r="V111" s="42">
        <v>1</v>
      </c>
      <c r="W111" s="42" t="s">
        <v>116</v>
      </c>
      <c r="X111" s="42">
        <v>18</v>
      </c>
      <c r="Y111" s="42" t="s">
        <v>117</v>
      </c>
      <c r="Z111" s="42">
        <v>4376043.7609999999</v>
      </c>
      <c r="AA111" s="42">
        <v>0.56620000000000004</v>
      </c>
      <c r="AB111" s="42" t="s">
        <v>36</v>
      </c>
      <c r="AC111" s="42">
        <v>1</v>
      </c>
      <c r="AD111" s="42">
        <v>1</v>
      </c>
      <c r="AE111" s="42">
        <v>2477715.98</v>
      </c>
    </row>
    <row r="112" spans="1:31" x14ac:dyDescent="0.2">
      <c r="A112" s="42" t="s">
        <v>917</v>
      </c>
      <c r="B112" s="42">
        <v>1</v>
      </c>
      <c r="C112" s="42" t="s">
        <v>54</v>
      </c>
      <c r="D112" s="42">
        <v>65</v>
      </c>
      <c r="E112" s="42" t="s">
        <v>177</v>
      </c>
      <c r="F112" s="42" t="s">
        <v>210</v>
      </c>
      <c r="G112" s="42">
        <v>2902</v>
      </c>
      <c r="H112" s="42" t="s">
        <v>211</v>
      </c>
      <c r="I112" s="42">
        <v>1241000</v>
      </c>
      <c r="J112" s="42">
        <v>1241000</v>
      </c>
      <c r="K112" s="42" t="b">
        <v>0</v>
      </c>
      <c r="L112" s="42">
        <v>9</v>
      </c>
      <c r="M112" s="42" t="s">
        <v>111</v>
      </c>
      <c r="N112" s="42">
        <v>2</v>
      </c>
      <c r="O112" s="42" t="s">
        <v>122</v>
      </c>
      <c r="P112" s="42">
        <v>27</v>
      </c>
      <c r="Q112" s="42" t="s">
        <v>113</v>
      </c>
      <c r="R112" s="42" t="s">
        <v>114</v>
      </c>
      <c r="U112" s="42" t="s">
        <v>115</v>
      </c>
      <c r="V112" s="42">
        <v>1</v>
      </c>
      <c r="W112" s="42" t="s">
        <v>116</v>
      </c>
      <c r="X112" s="42">
        <v>18</v>
      </c>
      <c r="Y112" s="42" t="s">
        <v>117</v>
      </c>
      <c r="Z112" s="42">
        <v>1241000</v>
      </c>
      <c r="AA112" s="42">
        <v>1</v>
      </c>
      <c r="AB112" s="42" t="s">
        <v>36</v>
      </c>
      <c r="AC112" s="42">
        <v>1</v>
      </c>
      <c r="AD112" s="42">
        <v>1</v>
      </c>
      <c r="AE112" s="42">
        <v>1241000</v>
      </c>
    </row>
    <row r="113" spans="1:31" x14ac:dyDescent="0.2">
      <c r="A113" s="42" t="s">
        <v>917</v>
      </c>
      <c r="B113" s="42">
        <v>1</v>
      </c>
      <c r="C113" s="42" t="s">
        <v>54</v>
      </c>
      <c r="D113" s="42">
        <v>65</v>
      </c>
      <c r="E113" s="42" t="s">
        <v>177</v>
      </c>
      <c r="F113" s="42" t="s">
        <v>573</v>
      </c>
      <c r="G113" s="42">
        <v>3005</v>
      </c>
      <c r="H113" s="42" t="s">
        <v>574</v>
      </c>
      <c r="I113" s="42">
        <v>4287499.34</v>
      </c>
      <c r="J113" s="42">
        <v>4287499.34</v>
      </c>
      <c r="K113" s="42" t="b">
        <v>0</v>
      </c>
      <c r="L113" s="42">
        <v>4</v>
      </c>
      <c r="M113" s="42" t="s">
        <v>128</v>
      </c>
      <c r="N113" s="42">
        <v>1</v>
      </c>
      <c r="O113" s="42" t="s">
        <v>112</v>
      </c>
      <c r="P113" s="42">
        <v>250</v>
      </c>
      <c r="Q113" s="42" t="s">
        <v>334</v>
      </c>
      <c r="R113" s="42" t="s">
        <v>114</v>
      </c>
      <c r="U113" s="42" t="s">
        <v>121</v>
      </c>
      <c r="V113" s="42">
        <v>1</v>
      </c>
      <c r="W113" s="42" t="s">
        <v>116</v>
      </c>
      <c r="X113" s="42">
        <v>18</v>
      </c>
      <c r="Y113" s="42" t="s">
        <v>117</v>
      </c>
      <c r="Z113" s="42">
        <v>7168532.5899999999</v>
      </c>
      <c r="AA113" s="42">
        <v>0.59809999999999997</v>
      </c>
      <c r="AB113" s="42" t="s">
        <v>36</v>
      </c>
      <c r="AC113" s="42">
        <v>1</v>
      </c>
      <c r="AD113" s="42">
        <v>1</v>
      </c>
      <c r="AE113" s="42">
        <v>4287499.34</v>
      </c>
    </row>
    <row r="114" spans="1:31" x14ac:dyDescent="0.2">
      <c r="A114" s="42" t="s">
        <v>917</v>
      </c>
      <c r="B114" s="42">
        <v>1</v>
      </c>
      <c r="C114" s="42" t="s">
        <v>54</v>
      </c>
      <c r="D114" s="42">
        <v>65</v>
      </c>
      <c r="E114" s="42" t="s">
        <v>177</v>
      </c>
      <c r="F114" s="42" t="s">
        <v>575</v>
      </c>
      <c r="G114" s="42">
        <v>3059</v>
      </c>
      <c r="H114" s="42" t="s">
        <v>576</v>
      </c>
      <c r="I114" s="42">
        <v>2289187.21</v>
      </c>
      <c r="J114" s="42">
        <v>2289187.21</v>
      </c>
      <c r="K114" s="42" t="b">
        <v>0</v>
      </c>
      <c r="L114" s="42">
        <v>5</v>
      </c>
      <c r="M114" s="42" t="s">
        <v>108</v>
      </c>
      <c r="N114" s="42">
        <v>2</v>
      </c>
      <c r="O114" s="42" t="s">
        <v>122</v>
      </c>
      <c r="P114" s="42">
        <v>2</v>
      </c>
      <c r="Q114" s="42" t="s">
        <v>322</v>
      </c>
      <c r="R114" s="42" t="s">
        <v>114</v>
      </c>
      <c r="U114" s="42" t="s">
        <v>121</v>
      </c>
      <c r="V114" s="42">
        <v>1</v>
      </c>
      <c r="W114" s="42" t="s">
        <v>116</v>
      </c>
      <c r="X114" s="42">
        <v>18</v>
      </c>
      <c r="Y114" s="42" t="s">
        <v>117</v>
      </c>
      <c r="Z114" s="42">
        <v>1844631.111</v>
      </c>
      <c r="AA114" s="42">
        <v>1.2410000000000001</v>
      </c>
      <c r="AB114" s="42" t="s">
        <v>36</v>
      </c>
      <c r="AC114" s="42">
        <v>1</v>
      </c>
      <c r="AD114" s="42">
        <v>1</v>
      </c>
      <c r="AE114" s="42">
        <v>2289187.21</v>
      </c>
    </row>
    <row r="115" spans="1:31" x14ac:dyDescent="0.2">
      <c r="A115" s="42" t="s">
        <v>917</v>
      </c>
      <c r="B115" s="42">
        <v>1</v>
      </c>
      <c r="C115" s="42" t="s">
        <v>54</v>
      </c>
      <c r="D115" s="42">
        <v>65</v>
      </c>
      <c r="E115" s="42" t="s">
        <v>177</v>
      </c>
      <c r="F115" s="42" t="s">
        <v>489</v>
      </c>
      <c r="G115" s="42">
        <v>3076</v>
      </c>
      <c r="H115" s="42" t="s">
        <v>490</v>
      </c>
      <c r="I115" s="42">
        <v>5327380.83</v>
      </c>
      <c r="J115" s="42">
        <v>5342588.6399999997</v>
      </c>
      <c r="K115" s="42" t="b">
        <v>0</v>
      </c>
      <c r="L115" s="42">
        <v>4</v>
      </c>
      <c r="M115" s="42" t="s">
        <v>128</v>
      </c>
      <c r="N115" s="42">
        <v>1</v>
      </c>
      <c r="O115" s="42" t="s">
        <v>112</v>
      </c>
      <c r="P115" s="42">
        <v>14</v>
      </c>
      <c r="Q115" s="42" t="s">
        <v>323</v>
      </c>
      <c r="R115" s="42" t="s">
        <v>114</v>
      </c>
      <c r="U115" s="42" t="s">
        <v>121</v>
      </c>
      <c r="V115" s="42">
        <v>1</v>
      </c>
      <c r="W115" s="42" t="s">
        <v>116</v>
      </c>
      <c r="X115" s="42">
        <v>18</v>
      </c>
      <c r="Y115" s="42" t="s">
        <v>117</v>
      </c>
      <c r="Z115" s="42">
        <v>4224392.0640000002</v>
      </c>
      <c r="AA115" s="42">
        <v>1.2646999999999999</v>
      </c>
      <c r="AB115" s="42" t="s">
        <v>36</v>
      </c>
      <c r="AC115" s="42">
        <v>1</v>
      </c>
      <c r="AD115" s="42">
        <v>1</v>
      </c>
      <c r="AE115" s="42">
        <v>5342588.6399999997</v>
      </c>
    </row>
    <row r="116" spans="1:31" x14ac:dyDescent="0.2">
      <c r="A116" s="42" t="s">
        <v>917</v>
      </c>
      <c r="B116" s="42">
        <v>1</v>
      </c>
      <c r="C116" s="42" t="s">
        <v>54</v>
      </c>
      <c r="D116" s="42">
        <v>65</v>
      </c>
      <c r="E116" s="42" t="s">
        <v>177</v>
      </c>
      <c r="F116" s="42" t="s">
        <v>148</v>
      </c>
      <c r="G116" s="42">
        <v>3095</v>
      </c>
      <c r="H116" s="42" t="s">
        <v>149</v>
      </c>
      <c r="I116" s="42">
        <v>2280837.87</v>
      </c>
      <c r="J116" s="42">
        <v>2280837.87</v>
      </c>
      <c r="K116" s="42" t="b">
        <v>0</v>
      </c>
      <c r="L116" s="42">
        <v>5</v>
      </c>
      <c r="M116" s="42" t="s">
        <v>108</v>
      </c>
      <c r="N116" s="42">
        <v>28</v>
      </c>
      <c r="O116" s="42" t="s">
        <v>120</v>
      </c>
      <c r="P116" s="42">
        <v>9</v>
      </c>
      <c r="Q116" s="42" t="s">
        <v>320</v>
      </c>
      <c r="R116" s="42" t="s">
        <v>114</v>
      </c>
      <c r="U116" s="42" t="s">
        <v>121</v>
      </c>
      <c r="V116" s="42">
        <v>1</v>
      </c>
      <c r="W116" s="42" t="s">
        <v>116</v>
      </c>
      <c r="X116" s="42">
        <v>18</v>
      </c>
      <c r="Y116" s="42" t="s">
        <v>117</v>
      </c>
      <c r="Z116" s="42">
        <v>155053.56</v>
      </c>
      <c r="AA116" s="42">
        <v>14.71</v>
      </c>
      <c r="AB116" s="42" t="s">
        <v>36</v>
      </c>
      <c r="AC116" s="42">
        <v>1</v>
      </c>
      <c r="AD116" s="42">
        <v>1</v>
      </c>
      <c r="AE116" s="42">
        <v>2280837.87</v>
      </c>
    </row>
    <row r="117" spans="1:31" x14ac:dyDescent="0.2">
      <c r="A117" s="42" t="s">
        <v>917</v>
      </c>
      <c r="B117" s="42">
        <v>1</v>
      </c>
      <c r="C117" s="42" t="s">
        <v>54</v>
      </c>
      <c r="D117" s="42">
        <v>65</v>
      </c>
      <c r="E117" s="42" t="s">
        <v>177</v>
      </c>
      <c r="F117" s="42" t="s">
        <v>577</v>
      </c>
      <c r="G117" s="42">
        <v>3122</v>
      </c>
      <c r="H117" s="42" t="s">
        <v>578</v>
      </c>
      <c r="I117" s="42">
        <v>3176387.87</v>
      </c>
      <c r="J117" s="42">
        <v>3176387.87</v>
      </c>
      <c r="K117" s="42" t="b">
        <v>0</v>
      </c>
      <c r="L117" s="42">
        <v>5</v>
      </c>
      <c r="M117" s="42" t="s">
        <v>108</v>
      </c>
      <c r="N117" s="42">
        <v>2</v>
      </c>
      <c r="O117" s="42" t="s">
        <v>122</v>
      </c>
      <c r="P117" s="42">
        <v>1</v>
      </c>
      <c r="Q117" s="42" t="s">
        <v>326</v>
      </c>
      <c r="R117" s="42" t="s">
        <v>114</v>
      </c>
      <c r="U117" s="42" t="s">
        <v>121</v>
      </c>
      <c r="V117" s="42">
        <v>1</v>
      </c>
      <c r="W117" s="42" t="s">
        <v>116</v>
      </c>
      <c r="X117" s="42">
        <v>18</v>
      </c>
      <c r="Y117" s="42" t="s">
        <v>117</v>
      </c>
      <c r="Z117" s="42">
        <v>714437.21840000001</v>
      </c>
      <c r="AA117" s="42">
        <v>4.4459999999999997</v>
      </c>
      <c r="AB117" s="42" t="s">
        <v>36</v>
      </c>
      <c r="AC117" s="42">
        <v>1</v>
      </c>
      <c r="AD117" s="42">
        <v>1</v>
      </c>
      <c r="AE117" s="42">
        <v>3176387.87</v>
      </c>
    </row>
    <row r="118" spans="1:31" x14ac:dyDescent="0.2">
      <c r="A118" s="42" t="s">
        <v>917</v>
      </c>
      <c r="B118" s="42">
        <v>1</v>
      </c>
      <c r="C118" s="42" t="s">
        <v>54</v>
      </c>
      <c r="D118" s="42">
        <v>65</v>
      </c>
      <c r="E118" s="42" t="s">
        <v>177</v>
      </c>
      <c r="F118" s="42" t="s">
        <v>152</v>
      </c>
      <c r="G118" s="42">
        <v>3159</v>
      </c>
      <c r="H118" s="42" t="s">
        <v>153</v>
      </c>
      <c r="I118" s="42">
        <v>2199125.14</v>
      </c>
      <c r="J118" s="42">
        <v>2199125.14</v>
      </c>
      <c r="K118" s="42" t="b">
        <v>0</v>
      </c>
      <c r="L118" s="42">
        <v>5</v>
      </c>
      <c r="M118" s="42" t="s">
        <v>108</v>
      </c>
      <c r="N118" s="42">
        <v>28</v>
      </c>
      <c r="O118" s="42" t="s">
        <v>120</v>
      </c>
      <c r="P118" s="42">
        <v>9</v>
      </c>
      <c r="Q118" s="42" t="s">
        <v>320</v>
      </c>
      <c r="R118" s="42" t="s">
        <v>114</v>
      </c>
      <c r="U118" s="42" t="s">
        <v>121</v>
      </c>
      <c r="V118" s="42">
        <v>1</v>
      </c>
      <c r="W118" s="42" t="s">
        <v>116</v>
      </c>
      <c r="X118" s="42">
        <v>18</v>
      </c>
      <c r="Y118" s="42" t="s">
        <v>117</v>
      </c>
      <c r="Z118" s="42">
        <v>2082504.87</v>
      </c>
      <c r="AA118" s="42">
        <v>1.056</v>
      </c>
      <c r="AB118" s="42" t="s">
        <v>36</v>
      </c>
      <c r="AC118" s="42">
        <v>1</v>
      </c>
      <c r="AD118" s="42">
        <v>1</v>
      </c>
      <c r="AE118" s="42">
        <v>2199125.14</v>
      </c>
    </row>
    <row r="119" spans="1:31" x14ac:dyDescent="0.2">
      <c r="A119" s="42" t="s">
        <v>917</v>
      </c>
      <c r="B119" s="42">
        <v>1</v>
      </c>
      <c r="C119" s="42" t="s">
        <v>54</v>
      </c>
      <c r="D119" s="42">
        <v>65</v>
      </c>
      <c r="E119" s="42" t="s">
        <v>177</v>
      </c>
      <c r="F119" s="42" t="s">
        <v>273</v>
      </c>
      <c r="G119" s="42">
        <v>6407</v>
      </c>
      <c r="H119" s="42" t="s">
        <v>282</v>
      </c>
      <c r="I119" s="42">
        <v>3798283.69</v>
      </c>
      <c r="J119" s="42">
        <v>3798283.69</v>
      </c>
      <c r="K119" s="42" t="b">
        <v>0</v>
      </c>
      <c r="L119" s="42">
        <v>4</v>
      </c>
      <c r="M119" s="42" t="s">
        <v>128</v>
      </c>
      <c r="N119" s="42">
        <v>2</v>
      </c>
      <c r="O119" s="42" t="s">
        <v>122</v>
      </c>
      <c r="P119" s="42">
        <v>72</v>
      </c>
      <c r="Q119" s="42" t="s">
        <v>245</v>
      </c>
      <c r="R119" s="42" t="s">
        <v>114</v>
      </c>
      <c r="U119" s="42" t="s">
        <v>115</v>
      </c>
      <c r="V119" s="42">
        <v>1</v>
      </c>
      <c r="W119" s="42" t="s">
        <v>116</v>
      </c>
      <c r="X119" s="42">
        <v>18</v>
      </c>
      <c r="Y119" s="42" t="s">
        <v>117</v>
      </c>
      <c r="Z119" s="42">
        <v>28805.1</v>
      </c>
      <c r="AA119" s="42">
        <v>131.86150000000001</v>
      </c>
      <c r="AB119" s="42" t="s">
        <v>36</v>
      </c>
      <c r="AC119" s="42">
        <v>1</v>
      </c>
      <c r="AD119" s="42">
        <v>1</v>
      </c>
      <c r="AE119" s="42">
        <v>3798283.69</v>
      </c>
    </row>
    <row r="120" spans="1:31" x14ac:dyDescent="0.2">
      <c r="A120" s="42" t="s">
        <v>917</v>
      </c>
      <c r="B120" s="42">
        <v>1</v>
      </c>
      <c r="C120" s="42" t="s">
        <v>54</v>
      </c>
      <c r="D120" s="42">
        <v>65</v>
      </c>
      <c r="E120" s="42" t="s">
        <v>177</v>
      </c>
      <c r="F120" s="42" t="s">
        <v>507</v>
      </c>
      <c r="G120" s="42">
        <v>6673</v>
      </c>
      <c r="H120" s="42" t="s">
        <v>508</v>
      </c>
      <c r="I120" s="42">
        <v>2314097.7200000002</v>
      </c>
      <c r="J120" s="42">
        <v>2314097.7200000002</v>
      </c>
      <c r="K120" s="42" t="b">
        <v>0</v>
      </c>
      <c r="L120" s="42">
        <v>5</v>
      </c>
      <c r="M120" s="42" t="s">
        <v>108</v>
      </c>
      <c r="N120" s="42">
        <v>2</v>
      </c>
      <c r="O120" s="42" t="s">
        <v>122</v>
      </c>
      <c r="P120" s="42">
        <v>2</v>
      </c>
      <c r="Q120" s="42" t="s">
        <v>322</v>
      </c>
      <c r="R120" s="42" t="s">
        <v>114</v>
      </c>
      <c r="U120" s="42" t="s">
        <v>121</v>
      </c>
      <c r="V120" s="42">
        <v>1</v>
      </c>
      <c r="W120" s="42" t="s">
        <v>116</v>
      </c>
      <c r="X120" s="42">
        <v>18</v>
      </c>
      <c r="Y120" s="42" t="s">
        <v>117</v>
      </c>
      <c r="Z120" s="42">
        <v>115268.02</v>
      </c>
      <c r="AA120" s="42">
        <v>20.075800000000001</v>
      </c>
      <c r="AB120" s="42" t="s">
        <v>36</v>
      </c>
      <c r="AC120" s="42">
        <v>1</v>
      </c>
      <c r="AD120" s="42">
        <v>1</v>
      </c>
      <c r="AE120" s="42">
        <v>2314097.7200000002</v>
      </c>
    </row>
    <row r="121" spans="1:31" x14ac:dyDescent="0.2">
      <c r="A121" s="42" t="s">
        <v>917</v>
      </c>
      <c r="B121" s="42">
        <v>1</v>
      </c>
      <c r="C121" s="42" t="s">
        <v>54</v>
      </c>
      <c r="D121" s="42">
        <v>65</v>
      </c>
      <c r="E121" s="42" t="s">
        <v>177</v>
      </c>
      <c r="F121" s="42" t="s">
        <v>561</v>
      </c>
      <c r="G121" s="42">
        <v>6762</v>
      </c>
      <c r="H121" s="42" t="s">
        <v>562</v>
      </c>
      <c r="I121" s="42">
        <v>2238922.7400000002</v>
      </c>
      <c r="J121" s="42">
        <v>2238922.7400000002</v>
      </c>
      <c r="K121" s="42" t="b">
        <v>0</v>
      </c>
      <c r="L121" s="42">
        <v>5</v>
      </c>
      <c r="M121" s="42" t="s">
        <v>108</v>
      </c>
      <c r="N121" s="42">
        <v>29</v>
      </c>
      <c r="O121" s="42" t="s">
        <v>142</v>
      </c>
      <c r="P121" s="42">
        <v>3</v>
      </c>
      <c r="Q121" s="42" t="s">
        <v>325</v>
      </c>
      <c r="R121" s="42" t="s">
        <v>114</v>
      </c>
      <c r="U121" s="42" t="s">
        <v>121</v>
      </c>
      <c r="V121" s="42">
        <v>1</v>
      </c>
      <c r="W121" s="42" t="s">
        <v>116</v>
      </c>
      <c r="X121" s="42">
        <v>18</v>
      </c>
      <c r="Y121" s="42" t="s">
        <v>117</v>
      </c>
      <c r="Z121" s="42">
        <v>1257115.52</v>
      </c>
      <c r="AA121" s="42">
        <v>1.7809999999999999</v>
      </c>
      <c r="AB121" s="42" t="s">
        <v>36</v>
      </c>
      <c r="AC121" s="42">
        <v>1</v>
      </c>
      <c r="AD121" s="42">
        <v>1</v>
      </c>
      <c r="AE121" s="42">
        <v>2238922.7400000002</v>
      </c>
    </row>
    <row r="122" spans="1:31" x14ac:dyDescent="0.2">
      <c r="A122" s="42" t="s">
        <v>917</v>
      </c>
      <c r="B122" s="42">
        <v>1</v>
      </c>
      <c r="C122" s="42" t="s">
        <v>54</v>
      </c>
      <c r="D122" s="42">
        <v>65</v>
      </c>
      <c r="E122" s="42" t="s">
        <v>177</v>
      </c>
      <c r="F122" s="42" t="s">
        <v>579</v>
      </c>
      <c r="G122" s="42">
        <v>7067</v>
      </c>
      <c r="H122" s="42" t="s">
        <v>580</v>
      </c>
      <c r="I122" s="42">
        <v>2268438.65</v>
      </c>
      <c r="J122" s="42">
        <v>2268438.65</v>
      </c>
      <c r="K122" s="42" t="b">
        <v>0</v>
      </c>
      <c r="L122" s="42">
        <v>5</v>
      </c>
      <c r="M122" s="42" t="s">
        <v>108</v>
      </c>
      <c r="N122" s="42">
        <v>4</v>
      </c>
      <c r="O122" s="42" t="s">
        <v>109</v>
      </c>
      <c r="P122" s="42">
        <v>6</v>
      </c>
      <c r="Q122" s="42" t="s">
        <v>109</v>
      </c>
      <c r="R122" s="42" t="s">
        <v>114</v>
      </c>
      <c r="U122" s="42" t="s">
        <v>121</v>
      </c>
      <c r="V122" s="42">
        <v>1</v>
      </c>
      <c r="W122" s="42" t="s">
        <v>116</v>
      </c>
      <c r="X122" s="42">
        <v>18</v>
      </c>
      <c r="Y122" s="42" t="s">
        <v>117</v>
      </c>
      <c r="Z122" s="42">
        <v>651662.92799999996</v>
      </c>
      <c r="AA122" s="42">
        <v>3.4809999999999999</v>
      </c>
      <c r="AB122" s="42" t="s">
        <v>36</v>
      </c>
      <c r="AC122" s="42">
        <v>1</v>
      </c>
      <c r="AD122" s="42">
        <v>1</v>
      </c>
      <c r="AE122" s="42">
        <v>2268438.65</v>
      </c>
    </row>
    <row r="123" spans="1:31" x14ac:dyDescent="0.2">
      <c r="A123" s="42" t="s">
        <v>917</v>
      </c>
      <c r="B123" s="42">
        <v>1</v>
      </c>
      <c r="C123" s="42" t="s">
        <v>54</v>
      </c>
      <c r="D123" s="42">
        <v>65</v>
      </c>
      <c r="E123" s="42" t="s">
        <v>177</v>
      </c>
      <c r="F123" s="42" t="s">
        <v>283</v>
      </c>
      <c r="G123" s="42">
        <v>9237</v>
      </c>
      <c r="H123" s="42" t="s">
        <v>284</v>
      </c>
      <c r="I123" s="42">
        <v>5352167.22</v>
      </c>
      <c r="J123" s="42">
        <v>5352167.22</v>
      </c>
      <c r="K123" s="42" t="b">
        <v>0</v>
      </c>
      <c r="L123" s="42">
        <v>4</v>
      </c>
      <c r="M123" s="42" t="s">
        <v>128</v>
      </c>
      <c r="N123" s="42">
        <v>2</v>
      </c>
      <c r="O123" s="42" t="s">
        <v>122</v>
      </c>
      <c r="P123" s="42">
        <v>14</v>
      </c>
      <c r="Q123" s="42" t="s">
        <v>323</v>
      </c>
      <c r="R123" s="42" t="s">
        <v>114</v>
      </c>
      <c r="U123" s="42" t="s">
        <v>121</v>
      </c>
      <c r="V123" s="42">
        <v>1</v>
      </c>
      <c r="W123" s="42" t="s">
        <v>116</v>
      </c>
      <c r="X123" s="42">
        <v>18</v>
      </c>
      <c r="Y123" s="42" t="s">
        <v>117</v>
      </c>
      <c r="Z123" s="42">
        <v>5751307.9903999995</v>
      </c>
      <c r="AA123" s="42">
        <v>0.93059999999999998</v>
      </c>
      <c r="AB123" s="42" t="s">
        <v>36</v>
      </c>
      <c r="AC123" s="42">
        <v>1</v>
      </c>
      <c r="AD123" s="42">
        <v>1</v>
      </c>
      <c r="AE123" s="42">
        <v>5352167.22</v>
      </c>
    </row>
    <row r="124" spans="1:31" x14ac:dyDescent="0.2">
      <c r="A124" s="42" t="s">
        <v>917</v>
      </c>
      <c r="B124" s="42">
        <v>1</v>
      </c>
      <c r="C124" s="42" t="s">
        <v>54</v>
      </c>
      <c r="D124" s="42">
        <v>65</v>
      </c>
      <c r="E124" s="42" t="s">
        <v>177</v>
      </c>
      <c r="F124" s="42" t="s">
        <v>344</v>
      </c>
      <c r="G124" s="42">
        <v>10176</v>
      </c>
      <c r="H124" s="42" t="s">
        <v>345</v>
      </c>
      <c r="I124" s="42">
        <v>2401207.2999999998</v>
      </c>
      <c r="J124" s="42">
        <v>2401207.2999999998</v>
      </c>
      <c r="K124" s="42" t="b">
        <v>0</v>
      </c>
      <c r="L124" s="42">
        <v>5</v>
      </c>
      <c r="M124" s="42" t="s">
        <v>108</v>
      </c>
      <c r="N124" s="42">
        <v>2</v>
      </c>
      <c r="O124" s="42" t="s">
        <v>122</v>
      </c>
      <c r="P124" s="42">
        <v>2</v>
      </c>
      <c r="Q124" s="42" t="s">
        <v>322</v>
      </c>
      <c r="R124" s="42" t="s">
        <v>114</v>
      </c>
      <c r="U124" s="42" t="s">
        <v>121</v>
      </c>
      <c r="V124" s="42">
        <v>1</v>
      </c>
      <c r="W124" s="42" t="s">
        <v>116</v>
      </c>
      <c r="X124" s="42">
        <v>18</v>
      </c>
      <c r="Y124" s="42" t="s">
        <v>117</v>
      </c>
      <c r="Z124" s="42">
        <v>2088551.19</v>
      </c>
      <c r="AA124" s="42">
        <v>1.1496999999999999</v>
      </c>
      <c r="AB124" s="42" t="s">
        <v>36</v>
      </c>
      <c r="AC124" s="42">
        <v>1</v>
      </c>
      <c r="AD124" s="42">
        <v>1</v>
      </c>
      <c r="AE124" s="42">
        <v>2401207.2999999998</v>
      </c>
    </row>
    <row r="125" spans="1:31" x14ac:dyDescent="0.2">
      <c r="A125" s="42" t="s">
        <v>917</v>
      </c>
      <c r="B125" s="42">
        <v>1</v>
      </c>
      <c r="C125" s="42" t="s">
        <v>54</v>
      </c>
      <c r="D125" s="42">
        <v>65</v>
      </c>
      <c r="E125" s="42" t="s">
        <v>177</v>
      </c>
      <c r="F125" s="42" t="s">
        <v>332</v>
      </c>
      <c r="G125" s="42">
        <v>10273</v>
      </c>
      <c r="H125" s="42" t="s">
        <v>333</v>
      </c>
      <c r="I125" s="42">
        <v>4151919.96</v>
      </c>
      <c r="J125" s="42">
        <v>4151919.96</v>
      </c>
      <c r="K125" s="42" t="b">
        <v>0</v>
      </c>
      <c r="L125" s="42">
        <v>4</v>
      </c>
      <c r="M125" s="42" t="s">
        <v>128</v>
      </c>
      <c r="N125" s="42">
        <v>1</v>
      </c>
      <c r="O125" s="42" t="s">
        <v>112</v>
      </c>
      <c r="P125" s="42">
        <v>31</v>
      </c>
      <c r="Q125" s="42" t="s">
        <v>330</v>
      </c>
      <c r="R125" s="42" t="s">
        <v>114</v>
      </c>
      <c r="U125" s="42" t="s">
        <v>121</v>
      </c>
      <c r="V125" s="42">
        <v>1</v>
      </c>
      <c r="W125" s="42" t="s">
        <v>116</v>
      </c>
      <c r="X125" s="42">
        <v>18</v>
      </c>
      <c r="Y125" s="42" t="s">
        <v>117</v>
      </c>
      <c r="Z125" s="42">
        <v>3874505.3739999998</v>
      </c>
      <c r="AA125" s="42">
        <v>1.0716000000000001</v>
      </c>
      <c r="AB125" s="42" t="s">
        <v>36</v>
      </c>
      <c r="AC125" s="42">
        <v>1</v>
      </c>
      <c r="AD125" s="42">
        <v>1</v>
      </c>
      <c r="AE125" s="42">
        <v>4151919.96</v>
      </c>
    </row>
    <row r="126" spans="1:31" x14ac:dyDescent="0.2">
      <c r="A126" s="42" t="s">
        <v>917</v>
      </c>
      <c r="B126" s="42">
        <v>1</v>
      </c>
      <c r="C126" s="42" t="s">
        <v>54</v>
      </c>
      <c r="D126" s="42">
        <v>65</v>
      </c>
      <c r="E126" s="42" t="s">
        <v>177</v>
      </c>
      <c r="F126" s="42" t="s">
        <v>385</v>
      </c>
      <c r="G126" s="42">
        <v>11492</v>
      </c>
      <c r="H126" s="42" t="s">
        <v>386</v>
      </c>
      <c r="I126" s="42">
        <v>1532081.97</v>
      </c>
      <c r="J126" s="42">
        <v>1532081.97</v>
      </c>
      <c r="K126" s="42" t="b">
        <v>0</v>
      </c>
      <c r="L126" s="42">
        <v>5</v>
      </c>
      <c r="M126" s="42" t="s">
        <v>108</v>
      </c>
      <c r="N126" s="42">
        <v>1</v>
      </c>
      <c r="O126" s="42" t="s">
        <v>112</v>
      </c>
      <c r="P126" s="42">
        <v>115</v>
      </c>
      <c r="Q126" s="42" t="s">
        <v>254</v>
      </c>
      <c r="R126" s="42" t="s">
        <v>114</v>
      </c>
      <c r="U126" s="42" t="s">
        <v>121</v>
      </c>
      <c r="V126" s="42">
        <v>1</v>
      </c>
      <c r="W126" s="42" t="s">
        <v>116</v>
      </c>
      <c r="X126" s="42">
        <v>18</v>
      </c>
      <c r="Y126" s="42" t="s">
        <v>117</v>
      </c>
      <c r="Z126" s="42">
        <v>1068919.254</v>
      </c>
      <c r="AA126" s="42">
        <v>1.4333</v>
      </c>
      <c r="AB126" s="42" t="s">
        <v>36</v>
      </c>
      <c r="AC126" s="42">
        <v>1</v>
      </c>
      <c r="AD126" s="42">
        <v>1</v>
      </c>
      <c r="AE126" s="42">
        <v>1532081.97</v>
      </c>
    </row>
    <row r="127" spans="1:31" x14ac:dyDescent="0.2">
      <c r="A127" s="42" t="s">
        <v>917</v>
      </c>
      <c r="B127" s="42">
        <v>1</v>
      </c>
      <c r="C127" s="42" t="s">
        <v>54</v>
      </c>
      <c r="D127" s="42">
        <v>65</v>
      </c>
      <c r="E127" s="42" t="s">
        <v>177</v>
      </c>
      <c r="F127" s="42" t="s">
        <v>581</v>
      </c>
      <c r="G127" s="42">
        <v>11816</v>
      </c>
      <c r="H127" s="42" t="s">
        <v>582</v>
      </c>
      <c r="I127" s="42">
        <v>1530455.32</v>
      </c>
      <c r="J127" s="42">
        <v>1530455.32</v>
      </c>
      <c r="K127" s="42" t="b">
        <v>0</v>
      </c>
      <c r="L127" s="42">
        <v>5</v>
      </c>
      <c r="M127" s="42" t="s">
        <v>108</v>
      </c>
      <c r="N127" s="42">
        <v>1</v>
      </c>
      <c r="O127" s="42" t="s">
        <v>112</v>
      </c>
      <c r="P127" s="42">
        <v>115</v>
      </c>
      <c r="Q127" s="42" t="s">
        <v>254</v>
      </c>
      <c r="R127" s="42" t="s">
        <v>114</v>
      </c>
      <c r="U127" s="42" t="s">
        <v>121</v>
      </c>
      <c r="V127" s="42">
        <v>1</v>
      </c>
      <c r="W127" s="42" t="s">
        <v>116</v>
      </c>
      <c r="X127" s="42">
        <v>18</v>
      </c>
      <c r="Y127" s="42" t="s">
        <v>117</v>
      </c>
      <c r="Z127" s="42">
        <v>839986.45200000005</v>
      </c>
      <c r="AA127" s="42">
        <v>1.8220000000000001</v>
      </c>
      <c r="AB127" s="42" t="s">
        <v>36</v>
      </c>
      <c r="AC127" s="42">
        <v>1</v>
      </c>
      <c r="AD127" s="42">
        <v>1</v>
      </c>
      <c r="AE127" s="42">
        <v>1530455.32</v>
      </c>
    </row>
    <row r="128" spans="1:31" x14ac:dyDescent="0.2">
      <c r="A128" s="42" t="s">
        <v>917</v>
      </c>
      <c r="B128" s="42">
        <v>1</v>
      </c>
      <c r="C128" s="42" t="s">
        <v>53</v>
      </c>
      <c r="D128" s="42">
        <v>66</v>
      </c>
      <c r="E128" s="42" t="s">
        <v>176</v>
      </c>
      <c r="F128" s="42" t="s">
        <v>126</v>
      </c>
      <c r="G128" s="42">
        <v>2534</v>
      </c>
      <c r="H128" s="42" t="s">
        <v>127</v>
      </c>
      <c r="I128" s="42">
        <v>1349411.71</v>
      </c>
      <c r="J128" s="42">
        <v>1349411.71</v>
      </c>
      <c r="K128" s="42" t="b">
        <v>0</v>
      </c>
      <c r="L128" s="42">
        <v>4</v>
      </c>
      <c r="M128" s="42" t="s">
        <v>128</v>
      </c>
      <c r="N128" s="42">
        <v>2</v>
      </c>
      <c r="O128" s="42" t="s">
        <v>122</v>
      </c>
      <c r="P128" s="42">
        <v>14</v>
      </c>
      <c r="Q128" s="42" t="s">
        <v>323</v>
      </c>
      <c r="R128" s="42" t="s">
        <v>114</v>
      </c>
      <c r="U128" s="42" t="s">
        <v>115</v>
      </c>
      <c r="V128" s="42">
        <v>1</v>
      </c>
      <c r="W128" s="42" t="s">
        <v>116</v>
      </c>
      <c r="X128" s="42">
        <v>18</v>
      </c>
      <c r="Y128" s="42" t="s">
        <v>117</v>
      </c>
      <c r="Z128" s="42">
        <v>12279.67</v>
      </c>
      <c r="AA128" s="42">
        <v>109.8899</v>
      </c>
      <c r="AB128" s="42" t="s">
        <v>36</v>
      </c>
      <c r="AC128" s="42">
        <v>1</v>
      </c>
      <c r="AD128" s="42">
        <v>1</v>
      </c>
      <c r="AE128" s="42">
        <v>1349411.71</v>
      </c>
    </row>
    <row r="129" spans="1:31" x14ac:dyDescent="0.2">
      <c r="A129" s="42" t="s">
        <v>917</v>
      </c>
      <c r="B129" s="42">
        <v>1</v>
      </c>
      <c r="C129" s="42" t="s">
        <v>53</v>
      </c>
      <c r="D129" s="42">
        <v>66</v>
      </c>
      <c r="E129" s="42" t="s">
        <v>176</v>
      </c>
      <c r="F129" s="42" t="s">
        <v>571</v>
      </c>
      <c r="G129" s="42">
        <v>2772</v>
      </c>
      <c r="H129" s="42" t="s">
        <v>572</v>
      </c>
      <c r="I129" s="42">
        <v>1476178.05</v>
      </c>
      <c r="J129" s="42">
        <v>1476178.05</v>
      </c>
      <c r="K129" s="42" t="b">
        <v>0</v>
      </c>
      <c r="L129" s="42">
        <v>5</v>
      </c>
      <c r="M129" s="42" t="s">
        <v>108</v>
      </c>
      <c r="N129" s="42">
        <v>2</v>
      </c>
      <c r="O129" s="42" t="s">
        <v>122</v>
      </c>
      <c r="P129" s="42">
        <v>2</v>
      </c>
      <c r="Q129" s="42" t="s">
        <v>322</v>
      </c>
      <c r="R129" s="42" t="s">
        <v>114</v>
      </c>
      <c r="U129" s="42" t="s">
        <v>121</v>
      </c>
      <c r="V129" s="42">
        <v>1</v>
      </c>
      <c r="W129" s="42" t="s">
        <v>116</v>
      </c>
      <c r="X129" s="42">
        <v>18</v>
      </c>
      <c r="Y129" s="42" t="s">
        <v>117</v>
      </c>
      <c r="Z129" s="42">
        <v>610495.47</v>
      </c>
      <c r="AA129" s="42">
        <v>2.4180000000000001</v>
      </c>
      <c r="AB129" s="42" t="s">
        <v>36</v>
      </c>
      <c r="AC129" s="42">
        <v>1</v>
      </c>
      <c r="AD129" s="42">
        <v>1</v>
      </c>
      <c r="AE129" s="42">
        <v>1476178.05</v>
      </c>
    </row>
    <row r="130" spans="1:31" x14ac:dyDescent="0.2">
      <c r="A130" s="42" t="s">
        <v>917</v>
      </c>
      <c r="B130" s="42">
        <v>1</v>
      </c>
      <c r="C130" s="42" t="s">
        <v>53</v>
      </c>
      <c r="D130" s="42">
        <v>66</v>
      </c>
      <c r="E130" s="42" t="s">
        <v>176</v>
      </c>
      <c r="F130" s="42" t="s">
        <v>132</v>
      </c>
      <c r="G130" s="42">
        <v>2856</v>
      </c>
      <c r="H130" s="42" t="s">
        <v>133</v>
      </c>
      <c r="I130" s="42">
        <v>1182831.28</v>
      </c>
      <c r="J130" s="42">
        <v>1182831.28</v>
      </c>
      <c r="K130" s="42" t="b">
        <v>0</v>
      </c>
      <c r="L130" s="42">
        <v>5</v>
      </c>
      <c r="M130" s="42" t="s">
        <v>108</v>
      </c>
      <c r="N130" s="42">
        <v>4</v>
      </c>
      <c r="O130" s="42" t="s">
        <v>109</v>
      </c>
      <c r="P130" s="42">
        <v>6</v>
      </c>
      <c r="Q130" s="42" t="s">
        <v>109</v>
      </c>
      <c r="R130" s="42" t="s">
        <v>114</v>
      </c>
      <c r="U130" s="42" t="s">
        <v>121</v>
      </c>
      <c r="V130" s="42">
        <v>1</v>
      </c>
      <c r="W130" s="42" t="s">
        <v>116</v>
      </c>
      <c r="X130" s="42">
        <v>18</v>
      </c>
      <c r="Y130" s="42" t="s">
        <v>117</v>
      </c>
      <c r="Z130" s="42">
        <v>342046.58</v>
      </c>
      <c r="AA130" s="42">
        <v>3.4581</v>
      </c>
      <c r="AB130" s="42" t="s">
        <v>36</v>
      </c>
      <c r="AC130" s="42">
        <v>1</v>
      </c>
      <c r="AD130" s="42">
        <v>1</v>
      </c>
      <c r="AE130" s="42">
        <v>1182831.28</v>
      </c>
    </row>
    <row r="131" spans="1:31" x14ac:dyDescent="0.2">
      <c r="A131" s="42" t="s">
        <v>917</v>
      </c>
      <c r="B131" s="42">
        <v>1</v>
      </c>
      <c r="C131" s="42" t="s">
        <v>53</v>
      </c>
      <c r="D131" s="42">
        <v>66</v>
      </c>
      <c r="E131" s="42" t="s">
        <v>176</v>
      </c>
      <c r="F131" s="42" t="s">
        <v>134</v>
      </c>
      <c r="G131" s="42">
        <v>2865</v>
      </c>
      <c r="H131" s="42" t="s">
        <v>135</v>
      </c>
      <c r="I131" s="42">
        <v>1358772.26</v>
      </c>
      <c r="J131" s="42">
        <v>1358772.26</v>
      </c>
      <c r="K131" s="42" t="b">
        <v>0</v>
      </c>
      <c r="L131" s="42">
        <v>4</v>
      </c>
      <c r="M131" s="42" t="s">
        <v>128</v>
      </c>
      <c r="N131" s="42">
        <v>1</v>
      </c>
      <c r="O131" s="42" t="s">
        <v>112</v>
      </c>
      <c r="P131" s="42">
        <v>14</v>
      </c>
      <c r="Q131" s="42" t="s">
        <v>323</v>
      </c>
      <c r="R131" s="42" t="s">
        <v>114</v>
      </c>
      <c r="U131" s="42" t="s">
        <v>121</v>
      </c>
      <c r="V131" s="42">
        <v>1</v>
      </c>
      <c r="W131" s="42" t="s">
        <v>116</v>
      </c>
      <c r="X131" s="42">
        <v>18</v>
      </c>
      <c r="Y131" s="42" t="s">
        <v>117</v>
      </c>
      <c r="Z131" s="42">
        <v>2399809.713</v>
      </c>
      <c r="AA131" s="42">
        <v>0.56620000000000004</v>
      </c>
      <c r="AB131" s="42" t="s">
        <v>36</v>
      </c>
      <c r="AC131" s="42">
        <v>1</v>
      </c>
      <c r="AD131" s="42">
        <v>1</v>
      </c>
      <c r="AE131" s="42">
        <v>1358772.26</v>
      </c>
    </row>
    <row r="132" spans="1:31" x14ac:dyDescent="0.2">
      <c r="A132" s="42" t="s">
        <v>917</v>
      </c>
      <c r="B132" s="42">
        <v>1</v>
      </c>
      <c r="C132" s="42" t="s">
        <v>53</v>
      </c>
      <c r="D132" s="42">
        <v>66</v>
      </c>
      <c r="E132" s="42" t="s">
        <v>176</v>
      </c>
      <c r="F132" s="42" t="s">
        <v>210</v>
      </c>
      <c r="G132" s="42">
        <v>2902</v>
      </c>
      <c r="H132" s="42" t="s">
        <v>211</v>
      </c>
      <c r="I132" s="42">
        <v>743000</v>
      </c>
      <c r="J132" s="42">
        <v>743000</v>
      </c>
      <c r="K132" s="42" t="b">
        <v>0</v>
      </c>
      <c r="L132" s="42">
        <v>9</v>
      </c>
      <c r="M132" s="42" t="s">
        <v>111</v>
      </c>
      <c r="N132" s="42">
        <v>2</v>
      </c>
      <c r="O132" s="42" t="s">
        <v>122</v>
      </c>
      <c r="P132" s="42">
        <v>27</v>
      </c>
      <c r="Q132" s="42" t="s">
        <v>113</v>
      </c>
      <c r="R132" s="42" t="s">
        <v>114</v>
      </c>
      <c r="U132" s="42" t="s">
        <v>115</v>
      </c>
      <c r="V132" s="42">
        <v>1</v>
      </c>
      <c r="W132" s="42" t="s">
        <v>116</v>
      </c>
      <c r="X132" s="42">
        <v>18</v>
      </c>
      <c r="Y132" s="42" t="s">
        <v>117</v>
      </c>
      <c r="Z132" s="42">
        <v>743000</v>
      </c>
      <c r="AA132" s="42">
        <v>1</v>
      </c>
      <c r="AB132" s="42" t="s">
        <v>36</v>
      </c>
      <c r="AC132" s="42">
        <v>1</v>
      </c>
      <c r="AD132" s="42">
        <v>1</v>
      </c>
      <c r="AE132" s="42">
        <v>743000</v>
      </c>
    </row>
    <row r="133" spans="1:31" x14ac:dyDescent="0.2">
      <c r="A133" s="42" t="s">
        <v>917</v>
      </c>
      <c r="B133" s="42">
        <v>1</v>
      </c>
      <c r="C133" s="42" t="s">
        <v>53</v>
      </c>
      <c r="D133" s="42">
        <v>66</v>
      </c>
      <c r="E133" s="42" t="s">
        <v>176</v>
      </c>
      <c r="F133" s="42" t="s">
        <v>573</v>
      </c>
      <c r="G133" s="42">
        <v>3005</v>
      </c>
      <c r="H133" s="42" t="s">
        <v>574</v>
      </c>
      <c r="I133" s="42">
        <v>2237664.39</v>
      </c>
      <c r="J133" s="42">
        <v>2237664.39</v>
      </c>
      <c r="K133" s="42" t="b">
        <v>0</v>
      </c>
      <c r="L133" s="42">
        <v>4</v>
      </c>
      <c r="M133" s="42" t="s">
        <v>128</v>
      </c>
      <c r="N133" s="42">
        <v>1</v>
      </c>
      <c r="O133" s="42" t="s">
        <v>112</v>
      </c>
      <c r="P133" s="42">
        <v>250</v>
      </c>
      <c r="Q133" s="42" t="s">
        <v>334</v>
      </c>
      <c r="R133" s="42" t="s">
        <v>114</v>
      </c>
      <c r="U133" s="42" t="s">
        <v>121</v>
      </c>
      <c r="V133" s="42">
        <v>1</v>
      </c>
      <c r="W133" s="42" t="s">
        <v>116</v>
      </c>
      <c r="X133" s="42">
        <v>18</v>
      </c>
      <c r="Y133" s="42" t="s">
        <v>117</v>
      </c>
      <c r="Z133" s="42">
        <v>3741288.0690000001</v>
      </c>
      <c r="AA133" s="42">
        <v>0.59809999999999997</v>
      </c>
      <c r="AB133" s="42" t="s">
        <v>36</v>
      </c>
      <c r="AC133" s="42">
        <v>1</v>
      </c>
      <c r="AD133" s="42">
        <v>1</v>
      </c>
      <c r="AE133" s="42">
        <v>2237664.39</v>
      </c>
    </row>
    <row r="134" spans="1:31" x14ac:dyDescent="0.2">
      <c r="A134" s="42" t="s">
        <v>917</v>
      </c>
      <c r="B134" s="42">
        <v>1</v>
      </c>
      <c r="C134" s="42" t="s">
        <v>53</v>
      </c>
      <c r="D134" s="42">
        <v>66</v>
      </c>
      <c r="E134" s="42" t="s">
        <v>176</v>
      </c>
      <c r="F134" s="42" t="s">
        <v>575</v>
      </c>
      <c r="G134" s="42">
        <v>3059</v>
      </c>
      <c r="H134" s="42" t="s">
        <v>576</v>
      </c>
      <c r="I134" s="42">
        <v>1415981.89</v>
      </c>
      <c r="J134" s="42">
        <v>1415981.89</v>
      </c>
      <c r="K134" s="42" t="b">
        <v>0</v>
      </c>
      <c r="L134" s="42">
        <v>5</v>
      </c>
      <c r="M134" s="42" t="s">
        <v>108</v>
      </c>
      <c r="N134" s="42">
        <v>2</v>
      </c>
      <c r="O134" s="42" t="s">
        <v>122</v>
      </c>
      <c r="P134" s="42">
        <v>2</v>
      </c>
      <c r="Q134" s="42" t="s">
        <v>322</v>
      </c>
      <c r="R134" s="42" t="s">
        <v>114</v>
      </c>
      <c r="U134" s="42" t="s">
        <v>121</v>
      </c>
      <c r="V134" s="42">
        <v>1</v>
      </c>
      <c r="W134" s="42" t="s">
        <v>116</v>
      </c>
      <c r="X134" s="42">
        <v>18</v>
      </c>
      <c r="Y134" s="42" t="s">
        <v>117</v>
      </c>
      <c r="Z134" s="42">
        <v>1141000.7163</v>
      </c>
      <c r="AA134" s="42">
        <v>1.2410000000000001</v>
      </c>
      <c r="AB134" s="42" t="s">
        <v>36</v>
      </c>
      <c r="AC134" s="42">
        <v>1</v>
      </c>
      <c r="AD134" s="42">
        <v>1</v>
      </c>
      <c r="AE134" s="42">
        <v>1415981.89</v>
      </c>
    </row>
    <row r="135" spans="1:31" x14ac:dyDescent="0.2">
      <c r="A135" s="42" t="s">
        <v>917</v>
      </c>
      <c r="B135" s="42">
        <v>1</v>
      </c>
      <c r="C135" s="42" t="s">
        <v>53</v>
      </c>
      <c r="D135" s="42">
        <v>66</v>
      </c>
      <c r="E135" s="42" t="s">
        <v>176</v>
      </c>
      <c r="F135" s="42" t="s">
        <v>489</v>
      </c>
      <c r="G135" s="42">
        <v>3076</v>
      </c>
      <c r="H135" s="42" t="s">
        <v>490</v>
      </c>
      <c r="I135" s="42">
        <v>2554570.52</v>
      </c>
      <c r="J135" s="42">
        <v>2561862.9300000002</v>
      </c>
      <c r="K135" s="42" t="b">
        <v>0</v>
      </c>
      <c r="L135" s="42">
        <v>4</v>
      </c>
      <c r="M135" s="42" t="s">
        <v>128</v>
      </c>
      <c r="N135" s="42">
        <v>1</v>
      </c>
      <c r="O135" s="42" t="s">
        <v>112</v>
      </c>
      <c r="P135" s="42">
        <v>14</v>
      </c>
      <c r="Q135" s="42" t="s">
        <v>323</v>
      </c>
      <c r="R135" s="42" t="s">
        <v>114</v>
      </c>
      <c r="U135" s="42" t="s">
        <v>121</v>
      </c>
      <c r="V135" s="42">
        <v>1</v>
      </c>
      <c r="W135" s="42" t="s">
        <v>116</v>
      </c>
      <c r="X135" s="42">
        <v>18</v>
      </c>
      <c r="Y135" s="42" t="s">
        <v>117</v>
      </c>
      <c r="Z135" s="42">
        <v>2025668.476</v>
      </c>
      <c r="AA135" s="42">
        <v>1.2646999999999999</v>
      </c>
      <c r="AB135" s="42" t="s">
        <v>36</v>
      </c>
      <c r="AC135" s="42">
        <v>1</v>
      </c>
      <c r="AD135" s="42">
        <v>1</v>
      </c>
      <c r="AE135" s="42">
        <v>2561862.92</v>
      </c>
    </row>
    <row r="136" spans="1:31" x14ac:dyDescent="0.2">
      <c r="A136" s="42" t="s">
        <v>917</v>
      </c>
      <c r="B136" s="42">
        <v>1</v>
      </c>
      <c r="C136" s="42" t="s">
        <v>53</v>
      </c>
      <c r="D136" s="42">
        <v>66</v>
      </c>
      <c r="E136" s="42" t="s">
        <v>176</v>
      </c>
      <c r="F136" s="42" t="s">
        <v>583</v>
      </c>
      <c r="G136" s="42">
        <v>3097</v>
      </c>
      <c r="H136" s="42" t="s">
        <v>584</v>
      </c>
      <c r="I136" s="42">
        <v>1474540.96</v>
      </c>
      <c r="J136" s="42">
        <v>1474540.96</v>
      </c>
      <c r="K136" s="42" t="b">
        <v>0</v>
      </c>
      <c r="L136" s="42">
        <v>4</v>
      </c>
      <c r="M136" s="42" t="s">
        <v>128</v>
      </c>
      <c r="N136" s="42">
        <v>2</v>
      </c>
      <c r="O136" s="42" t="s">
        <v>122</v>
      </c>
      <c r="P136" s="42">
        <v>37</v>
      </c>
      <c r="Q136" s="42" t="s">
        <v>321</v>
      </c>
      <c r="R136" s="42" t="s">
        <v>114</v>
      </c>
      <c r="U136" s="42" t="s">
        <v>121</v>
      </c>
      <c r="V136" s="42">
        <v>1</v>
      </c>
      <c r="W136" s="42" t="s">
        <v>116</v>
      </c>
      <c r="X136" s="42">
        <v>18</v>
      </c>
      <c r="Y136" s="42" t="s">
        <v>117</v>
      </c>
      <c r="Z136" s="42">
        <v>1088864.983</v>
      </c>
      <c r="AA136" s="42">
        <v>1.3542000000000001</v>
      </c>
      <c r="AB136" s="42" t="s">
        <v>36</v>
      </c>
      <c r="AC136" s="42">
        <v>1</v>
      </c>
      <c r="AD136" s="42">
        <v>1</v>
      </c>
      <c r="AE136" s="42">
        <v>1474540.96</v>
      </c>
    </row>
    <row r="137" spans="1:31" x14ac:dyDescent="0.2">
      <c r="A137" s="42" t="s">
        <v>917</v>
      </c>
      <c r="B137" s="42">
        <v>1</v>
      </c>
      <c r="C137" s="42" t="s">
        <v>53</v>
      </c>
      <c r="D137" s="42">
        <v>66</v>
      </c>
      <c r="E137" s="42" t="s">
        <v>176</v>
      </c>
      <c r="F137" s="42" t="s">
        <v>152</v>
      </c>
      <c r="G137" s="42">
        <v>3159</v>
      </c>
      <c r="H137" s="42" t="s">
        <v>153</v>
      </c>
      <c r="I137" s="42">
        <v>1007749.25</v>
      </c>
      <c r="J137" s="42">
        <v>1007749.25</v>
      </c>
      <c r="K137" s="42" t="b">
        <v>0</v>
      </c>
      <c r="L137" s="42">
        <v>5</v>
      </c>
      <c r="M137" s="42" t="s">
        <v>108</v>
      </c>
      <c r="N137" s="42">
        <v>28</v>
      </c>
      <c r="O137" s="42" t="s">
        <v>120</v>
      </c>
      <c r="P137" s="42">
        <v>9</v>
      </c>
      <c r="Q137" s="42" t="s">
        <v>320</v>
      </c>
      <c r="R137" s="42" t="s">
        <v>114</v>
      </c>
      <c r="U137" s="42" t="s">
        <v>121</v>
      </c>
      <c r="V137" s="42">
        <v>1</v>
      </c>
      <c r="W137" s="42" t="s">
        <v>116</v>
      </c>
      <c r="X137" s="42">
        <v>18</v>
      </c>
      <c r="Y137" s="42" t="s">
        <v>117</v>
      </c>
      <c r="Z137" s="42">
        <v>954308</v>
      </c>
      <c r="AA137" s="42">
        <v>1.056</v>
      </c>
      <c r="AB137" s="42" t="s">
        <v>36</v>
      </c>
      <c r="AC137" s="42">
        <v>1</v>
      </c>
      <c r="AD137" s="42">
        <v>1</v>
      </c>
      <c r="AE137" s="42">
        <v>1007749.25</v>
      </c>
    </row>
    <row r="138" spans="1:31" x14ac:dyDescent="0.2">
      <c r="A138" s="42" t="s">
        <v>917</v>
      </c>
      <c r="B138" s="42">
        <v>1</v>
      </c>
      <c r="C138" s="42" t="s">
        <v>53</v>
      </c>
      <c r="D138" s="42">
        <v>66</v>
      </c>
      <c r="E138" s="42" t="s">
        <v>176</v>
      </c>
      <c r="F138" s="42" t="s">
        <v>162</v>
      </c>
      <c r="G138" s="42">
        <v>6057</v>
      </c>
      <c r="H138" s="42" t="s">
        <v>163</v>
      </c>
      <c r="I138" s="42">
        <v>1657377.38</v>
      </c>
      <c r="J138" s="42">
        <v>1657377.38</v>
      </c>
      <c r="K138" s="42" t="b">
        <v>0</v>
      </c>
      <c r="L138" s="42">
        <v>4</v>
      </c>
      <c r="M138" s="42" t="s">
        <v>128</v>
      </c>
      <c r="N138" s="42">
        <v>1</v>
      </c>
      <c r="O138" s="42" t="s">
        <v>112</v>
      </c>
      <c r="P138" s="42">
        <v>14</v>
      </c>
      <c r="Q138" s="42" t="s">
        <v>323</v>
      </c>
      <c r="R138" s="42" t="s">
        <v>114</v>
      </c>
      <c r="U138" s="42" t="s">
        <v>121</v>
      </c>
      <c r="V138" s="42">
        <v>1</v>
      </c>
      <c r="W138" s="42" t="s">
        <v>116</v>
      </c>
      <c r="X138" s="42">
        <v>18</v>
      </c>
      <c r="Y138" s="42" t="s">
        <v>117</v>
      </c>
      <c r="Z138" s="42">
        <v>155121.24</v>
      </c>
      <c r="AA138" s="42">
        <v>10.6844</v>
      </c>
      <c r="AB138" s="42" t="s">
        <v>36</v>
      </c>
      <c r="AC138" s="42">
        <v>1</v>
      </c>
      <c r="AD138" s="42">
        <v>1</v>
      </c>
      <c r="AE138" s="42">
        <v>1657377.38</v>
      </c>
    </row>
    <row r="139" spans="1:31" x14ac:dyDescent="0.2">
      <c r="A139" s="42" t="s">
        <v>917</v>
      </c>
      <c r="B139" s="42">
        <v>1</v>
      </c>
      <c r="C139" s="42" t="s">
        <v>53</v>
      </c>
      <c r="D139" s="42">
        <v>66</v>
      </c>
      <c r="E139" s="42" t="s">
        <v>176</v>
      </c>
      <c r="F139" s="42" t="s">
        <v>273</v>
      </c>
      <c r="G139" s="42">
        <v>6407</v>
      </c>
      <c r="H139" s="42" t="s">
        <v>282</v>
      </c>
      <c r="I139" s="42">
        <v>2496660.37</v>
      </c>
      <c r="J139" s="42">
        <v>2496660.37</v>
      </c>
      <c r="K139" s="42" t="b">
        <v>0</v>
      </c>
      <c r="L139" s="42">
        <v>4</v>
      </c>
      <c r="M139" s="42" t="s">
        <v>128</v>
      </c>
      <c r="N139" s="42">
        <v>2</v>
      </c>
      <c r="O139" s="42" t="s">
        <v>122</v>
      </c>
      <c r="P139" s="42">
        <v>72</v>
      </c>
      <c r="Q139" s="42" t="s">
        <v>245</v>
      </c>
      <c r="R139" s="42" t="s">
        <v>114</v>
      </c>
      <c r="U139" s="42" t="s">
        <v>115</v>
      </c>
      <c r="V139" s="42">
        <v>1</v>
      </c>
      <c r="W139" s="42" t="s">
        <v>116</v>
      </c>
      <c r="X139" s="42">
        <v>18</v>
      </c>
      <c r="Y139" s="42" t="s">
        <v>117</v>
      </c>
      <c r="Z139" s="42">
        <v>18933.96</v>
      </c>
      <c r="AA139" s="42">
        <v>131.86150000000001</v>
      </c>
      <c r="AB139" s="42" t="s">
        <v>36</v>
      </c>
      <c r="AC139" s="42">
        <v>1</v>
      </c>
      <c r="AD139" s="42">
        <v>1</v>
      </c>
      <c r="AE139" s="42">
        <v>2496660.37</v>
      </c>
    </row>
    <row r="140" spans="1:31" x14ac:dyDescent="0.2">
      <c r="A140" s="42" t="s">
        <v>917</v>
      </c>
      <c r="B140" s="42">
        <v>1</v>
      </c>
      <c r="C140" s="42" t="s">
        <v>53</v>
      </c>
      <c r="D140" s="42">
        <v>66</v>
      </c>
      <c r="E140" s="42" t="s">
        <v>176</v>
      </c>
      <c r="F140" s="42" t="s">
        <v>491</v>
      </c>
      <c r="G140" s="42">
        <v>6675</v>
      </c>
      <c r="H140" s="42" t="s">
        <v>492</v>
      </c>
      <c r="I140" s="42">
        <v>1461573.98</v>
      </c>
      <c r="J140" s="42">
        <v>1461573.98</v>
      </c>
      <c r="K140" s="42" t="b">
        <v>0</v>
      </c>
      <c r="L140" s="42">
        <v>5</v>
      </c>
      <c r="M140" s="42" t="s">
        <v>108</v>
      </c>
      <c r="N140" s="42">
        <v>2</v>
      </c>
      <c r="O140" s="42" t="s">
        <v>122</v>
      </c>
      <c r="P140" s="42">
        <v>2</v>
      </c>
      <c r="Q140" s="42" t="s">
        <v>322</v>
      </c>
      <c r="R140" s="42" t="s">
        <v>114</v>
      </c>
      <c r="U140" s="42" t="s">
        <v>121</v>
      </c>
      <c r="V140" s="42">
        <v>1</v>
      </c>
      <c r="W140" s="42" t="s">
        <v>116</v>
      </c>
      <c r="X140" s="42">
        <v>18</v>
      </c>
      <c r="Y140" s="42" t="s">
        <v>117</v>
      </c>
      <c r="Z140" s="42">
        <v>921431.08100000001</v>
      </c>
      <c r="AA140" s="42">
        <v>1.5862000000000001</v>
      </c>
      <c r="AB140" s="42" t="s">
        <v>36</v>
      </c>
      <c r="AC140" s="42">
        <v>1</v>
      </c>
      <c r="AD140" s="42">
        <v>1</v>
      </c>
      <c r="AE140" s="42">
        <v>1461573.98</v>
      </c>
    </row>
    <row r="141" spans="1:31" x14ac:dyDescent="0.2">
      <c r="A141" s="42" t="s">
        <v>917</v>
      </c>
      <c r="B141" s="42">
        <v>1</v>
      </c>
      <c r="C141" s="42" t="s">
        <v>53</v>
      </c>
      <c r="D141" s="42">
        <v>66</v>
      </c>
      <c r="E141" s="42" t="s">
        <v>176</v>
      </c>
      <c r="F141" s="42" t="s">
        <v>561</v>
      </c>
      <c r="G141" s="42">
        <v>6762</v>
      </c>
      <c r="H141" s="42" t="s">
        <v>562</v>
      </c>
      <c r="I141" s="42">
        <v>729631.66</v>
      </c>
      <c r="J141" s="42">
        <v>729631.66</v>
      </c>
      <c r="K141" s="42" t="b">
        <v>0</v>
      </c>
      <c r="L141" s="42">
        <v>5</v>
      </c>
      <c r="M141" s="42" t="s">
        <v>108</v>
      </c>
      <c r="N141" s="42">
        <v>29</v>
      </c>
      <c r="O141" s="42" t="s">
        <v>142</v>
      </c>
      <c r="P141" s="42">
        <v>3</v>
      </c>
      <c r="Q141" s="42" t="s">
        <v>325</v>
      </c>
      <c r="R141" s="42" t="s">
        <v>114</v>
      </c>
      <c r="U141" s="42" t="s">
        <v>121</v>
      </c>
      <c r="V141" s="42">
        <v>1</v>
      </c>
      <c r="W141" s="42" t="s">
        <v>116</v>
      </c>
      <c r="X141" s="42">
        <v>18</v>
      </c>
      <c r="Y141" s="42" t="s">
        <v>117</v>
      </c>
      <c r="Z141" s="42">
        <v>409675.27</v>
      </c>
      <c r="AA141" s="42">
        <v>1.7809999999999999</v>
      </c>
      <c r="AB141" s="42" t="s">
        <v>36</v>
      </c>
      <c r="AC141" s="42">
        <v>1</v>
      </c>
      <c r="AD141" s="42">
        <v>1</v>
      </c>
      <c r="AE141" s="42">
        <v>729631.66</v>
      </c>
    </row>
    <row r="142" spans="1:31" x14ac:dyDescent="0.2">
      <c r="A142" s="42" t="s">
        <v>917</v>
      </c>
      <c r="B142" s="42">
        <v>1</v>
      </c>
      <c r="C142" s="42" t="s">
        <v>53</v>
      </c>
      <c r="D142" s="42">
        <v>66</v>
      </c>
      <c r="E142" s="42" t="s">
        <v>176</v>
      </c>
      <c r="F142" s="42" t="s">
        <v>579</v>
      </c>
      <c r="G142" s="42">
        <v>7067</v>
      </c>
      <c r="H142" s="42" t="s">
        <v>580</v>
      </c>
      <c r="I142" s="42">
        <v>738204.92</v>
      </c>
      <c r="J142" s="42">
        <v>738204.92</v>
      </c>
      <c r="K142" s="42" t="b">
        <v>0</v>
      </c>
      <c r="L142" s="42">
        <v>5</v>
      </c>
      <c r="M142" s="42" t="s">
        <v>108</v>
      </c>
      <c r="N142" s="42">
        <v>4</v>
      </c>
      <c r="O142" s="42" t="s">
        <v>109</v>
      </c>
      <c r="P142" s="42">
        <v>6</v>
      </c>
      <c r="Q142" s="42" t="s">
        <v>109</v>
      </c>
      <c r="R142" s="42" t="s">
        <v>114</v>
      </c>
      <c r="U142" s="42" t="s">
        <v>121</v>
      </c>
      <c r="V142" s="42">
        <v>1</v>
      </c>
      <c r="W142" s="42" t="s">
        <v>116</v>
      </c>
      <c r="X142" s="42">
        <v>18</v>
      </c>
      <c r="Y142" s="42" t="s">
        <v>117</v>
      </c>
      <c r="Z142" s="42">
        <v>212066.91200000001</v>
      </c>
      <c r="AA142" s="42">
        <v>3.4809999999999999</v>
      </c>
      <c r="AB142" s="42" t="s">
        <v>36</v>
      </c>
      <c r="AC142" s="42">
        <v>1</v>
      </c>
      <c r="AD142" s="42">
        <v>1</v>
      </c>
      <c r="AE142" s="42">
        <v>738204.92</v>
      </c>
    </row>
    <row r="143" spans="1:31" x14ac:dyDescent="0.2">
      <c r="A143" s="42" t="s">
        <v>917</v>
      </c>
      <c r="B143" s="42">
        <v>1</v>
      </c>
      <c r="C143" s="42" t="s">
        <v>53</v>
      </c>
      <c r="D143" s="42">
        <v>66</v>
      </c>
      <c r="E143" s="42" t="s">
        <v>176</v>
      </c>
      <c r="F143" s="42" t="s">
        <v>283</v>
      </c>
      <c r="G143" s="42">
        <v>9237</v>
      </c>
      <c r="H143" s="42" t="s">
        <v>284</v>
      </c>
      <c r="I143" s="42">
        <v>2591678.7000000002</v>
      </c>
      <c r="J143" s="42">
        <v>2591678.7000000002</v>
      </c>
      <c r="K143" s="42" t="b">
        <v>0</v>
      </c>
      <c r="L143" s="42">
        <v>4</v>
      </c>
      <c r="M143" s="42" t="s">
        <v>128</v>
      </c>
      <c r="N143" s="42">
        <v>2</v>
      </c>
      <c r="O143" s="42" t="s">
        <v>122</v>
      </c>
      <c r="P143" s="42">
        <v>14</v>
      </c>
      <c r="Q143" s="42" t="s">
        <v>323</v>
      </c>
      <c r="R143" s="42" t="s">
        <v>114</v>
      </c>
      <c r="U143" s="42" t="s">
        <v>121</v>
      </c>
      <c r="V143" s="42">
        <v>1</v>
      </c>
      <c r="W143" s="42" t="s">
        <v>116</v>
      </c>
      <c r="X143" s="42">
        <v>18</v>
      </c>
      <c r="Y143" s="42" t="s">
        <v>117</v>
      </c>
      <c r="Z143" s="42">
        <v>2784954.5479000001</v>
      </c>
      <c r="AA143" s="42">
        <v>0.93059999999999998</v>
      </c>
      <c r="AB143" s="42" t="s">
        <v>36</v>
      </c>
      <c r="AC143" s="42">
        <v>1</v>
      </c>
      <c r="AD143" s="42">
        <v>1</v>
      </c>
      <c r="AE143" s="42">
        <v>2591678.7000000002</v>
      </c>
    </row>
    <row r="144" spans="1:31" x14ac:dyDescent="0.2">
      <c r="A144" s="42" t="s">
        <v>917</v>
      </c>
      <c r="B144" s="42">
        <v>1</v>
      </c>
      <c r="C144" s="42" t="s">
        <v>53</v>
      </c>
      <c r="D144" s="42">
        <v>66</v>
      </c>
      <c r="E144" s="42" t="s">
        <v>176</v>
      </c>
      <c r="F144" s="42" t="s">
        <v>344</v>
      </c>
      <c r="G144" s="42">
        <v>10176</v>
      </c>
      <c r="H144" s="42" t="s">
        <v>345</v>
      </c>
      <c r="I144" s="42">
        <v>1465138.88</v>
      </c>
      <c r="J144" s="42">
        <v>1465138.88</v>
      </c>
      <c r="K144" s="42" t="b">
        <v>0</v>
      </c>
      <c r="L144" s="42">
        <v>5</v>
      </c>
      <c r="M144" s="42" t="s">
        <v>108</v>
      </c>
      <c r="N144" s="42">
        <v>2</v>
      </c>
      <c r="O144" s="42" t="s">
        <v>122</v>
      </c>
      <c r="P144" s="42">
        <v>2</v>
      </c>
      <c r="Q144" s="42" t="s">
        <v>322</v>
      </c>
      <c r="R144" s="42" t="s">
        <v>114</v>
      </c>
      <c r="U144" s="42" t="s">
        <v>121</v>
      </c>
      <c r="V144" s="42">
        <v>1</v>
      </c>
      <c r="W144" s="42" t="s">
        <v>116</v>
      </c>
      <c r="X144" s="42">
        <v>18</v>
      </c>
      <c r="Y144" s="42" t="s">
        <v>117</v>
      </c>
      <c r="Z144" s="42">
        <v>1274366.25</v>
      </c>
      <c r="AA144" s="42">
        <v>1.1496999999999999</v>
      </c>
      <c r="AB144" s="42" t="s">
        <v>36</v>
      </c>
      <c r="AC144" s="42">
        <v>1</v>
      </c>
      <c r="AD144" s="42">
        <v>1</v>
      </c>
      <c r="AE144" s="42">
        <v>1465138.88</v>
      </c>
    </row>
    <row r="145" spans="1:31" x14ac:dyDescent="0.2">
      <c r="A145" s="42" t="s">
        <v>917</v>
      </c>
      <c r="B145" s="42">
        <v>1</v>
      </c>
      <c r="C145" s="42" t="s">
        <v>53</v>
      </c>
      <c r="D145" s="42">
        <v>66</v>
      </c>
      <c r="E145" s="42" t="s">
        <v>176</v>
      </c>
      <c r="F145" s="42" t="s">
        <v>332</v>
      </c>
      <c r="G145" s="42">
        <v>10273</v>
      </c>
      <c r="H145" s="42" t="s">
        <v>333</v>
      </c>
      <c r="I145" s="42">
        <v>2127654.89</v>
      </c>
      <c r="J145" s="42">
        <v>2127654.89</v>
      </c>
      <c r="K145" s="42" t="b">
        <v>0</v>
      </c>
      <c r="L145" s="42">
        <v>4</v>
      </c>
      <c r="M145" s="42" t="s">
        <v>128</v>
      </c>
      <c r="N145" s="42">
        <v>1</v>
      </c>
      <c r="O145" s="42" t="s">
        <v>112</v>
      </c>
      <c r="P145" s="42">
        <v>31</v>
      </c>
      <c r="Q145" s="42" t="s">
        <v>330</v>
      </c>
      <c r="R145" s="42" t="s">
        <v>114</v>
      </c>
      <c r="U145" s="42" t="s">
        <v>121</v>
      </c>
      <c r="V145" s="42">
        <v>1</v>
      </c>
      <c r="W145" s="42" t="s">
        <v>116</v>
      </c>
      <c r="X145" s="42">
        <v>18</v>
      </c>
      <c r="Y145" s="42" t="s">
        <v>117</v>
      </c>
      <c r="Z145" s="42">
        <v>1985493.5549999999</v>
      </c>
      <c r="AA145" s="42">
        <v>1.0716000000000001</v>
      </c>
      <c r="AB145" s="42" t="s">
        <v>36</v>
      </c>
      <c r="AC145" s="42">
        <v>1</v>
      </c>
      <c r="AD145" s="42">
        <v>1</v>
      </c>
      <c r="AE145" s="42">
        <v>2127654.89</v>
      </c>
    </row>
    <row r="146" spans="1:31" x14ac:dyDescent="0.2">
      <c r="A146" s="42" t="s">
        <v>917</v>
      </c>
      <c r="B146" s="42">
        <v>1</v>
      </c>
      <c r="C146" s="42" t="s">
        <v>53</v>
      </c>
      <c r="D146" s="42">
        <v>66</v>
      </c>
      <c r="E146" s="42" t="s">
        <v>176</v>
      </c>
      <c r="F146" s="42" t="s">
        <v>385</v>
      </c>
      <c r="G146" s="42">
        <v>11492</v>
      </c>
      <c r="H146" s="42" t="s">
        <v>386</v>
      </c>
      <c r="I146" s="42">
        <v>613761.93999999994</v>
      </c>
      <c r="J146" s="42">
        <v>613761.93999999994</v>
      </c>
      <c r="K146" s="42" t="b">
        <v>0</v>
      </c>
      <c r="L146" s="42">
        <v>5</v>
      </c>
      <c r="M146" s="42" t="s">
        <v>108</v>
      </c>
      <c r="N146" s="42">
        <v>1</v>
      </c>
      <c r="O146" s="42" t="s">
        <v>112</v>
      </c>
      <c r="P146" s="42">
        <v>115</v>
      </c>
      <c r="Q146" s="42" t="s">
        <v>254</v>
      </c>
      <c r="R146" s="42" t="s">
        <v>114</v>
      </c>
      <c r="U146" s="42" t="s">
        <v>121</v>
      </c>
      <c r="V146" s="42">
        <v>1</v>
      </c>
      <c r="W146" s="42" t="s">
        <v>116</v>
      </c>
      <c r="X146" s="42">
        <v>18</v>
      </c>
      <c r="Y146" s="42" t="s">
        <v>117</v>
      </c>
      <c r="Z146" s="42">
        <v>428215.96500000003</v>
      </c>
      <c r="AA146" s="42">
        <v>1.4333</v>
      </c>
      <c r="AB146" s="42" t="s">
        <v>36</v>
      </c>
      <c r="AC146" s="42">
        <v>1</v>
      </c>
      <c r="AD146" s="42">
        <v>1</v>
      </c>
      <c r="AE146" s="42">
        <v>613761.93999999994</v>
      </c>
    </row>
    <row r="147" spans="1:31" x14ac:dyDescent="0.2">
      <c r="A147" s="42" t="s">
        <v>917</v>
      </c>
      <c r="B147" s="42">
        <v>1</v>
      </c>
      <c r="C147" s="42" t="s">
        <v>53</v>
      </c>
      <c r="D147" s="42">
        <v>66</v>
      </c>
      <c r="E147" s="42" t="s">
        <v>176</v>
      </c>
      <c r="F147" s="42" t="s">
        <v>581</v>
      </c>
      <c r="G147" s="42">
        <v>11816</v>
      </c>
      <c r="H147" s="42" t="s">
        <v>582</v>
      </c>
      <c r="I147" s="42">
        <v>573980.21</v>
      </c>
      <c r="J147" s="42">
        <v>573980.21</v>
      </c>
      <c r="K147" s="42" t="b">
        <v>0</v>
      </c>
      <c r="L147" s="42">
        <v>5</v>
      </c>
      <c r="M147" s="42" t="s">
        <v>108</v>
      </c>
      <c r="N147" s="42">
        <v>1</v>
      </c>
      <c r="O147" s="42" t="s">
        <v>112</v>
      </c>
      <c r="P147" s="42">
        <v>115</v>
      </c>
      <c r="Q147" s="42" t="s">
        <v>254</v>
      </c>
      <c r="R147" s="42" t="s">
        <v>114</v>
      </c>
      <c r="U147" s="42" t="s">
        <v>121</v>
      </c>
      <c r="V147" s="42">
        <v>1</v>
      </c>
      <c r="W147" s="42" t="s">
        <v>116</v>
      </c>
      <c r="X147" s="42">
        <v>18</v>
      </c>
      <c r="Y147" s="42" t="s">
        <v>117</v>
      </c>
      <c r="Z147" s="42">
        <v>315027.56</v>
      </c>
      <c r="AA147" s="42">
        <v>1.8220000000000001</v>
      </c>
      <c r="AB147" s="42" t="s">
        <v>36</v>
      </c>
      <c r="AC147" s="42">
        <v>1</v>
      </c>
      <c r="AD147" s="42">
        <v>1</v>
      </c>
      <c r="AE147" s="42">
        <v>573980.21</v>
      </c>
    </row>
    <row r="148" spans="1:31" x14ac:dyDescent="0.2">
      <c r="A148" s="42" t="s">
        <v>917</v>
      </c>
      <c r="B148" s="42">
        <v>1</v>
      </c>
      <c r="C148" s="42" t="s">
        <v>56</v>
      </c>
      <c r="D148" s="42">
        <v>67</v>
      </c>
      <c r="E148" s="42" t="s">
        <v>179</v>
      </c>
      <c r="F148" s="42" t="s">
        <v>483</v>
      </c>
      <c r="G148" s="42">
        <v>2532</v>
      </c>
      <c r="H148" s="42" t="s">
        <v>484</v>
      </c>
      <c r="I148" s="42">
        <v>1141554.24</v>
      </c>
      <c r="J148" s="42">
        <v>1141554.24</v>
      </c>
      <c r="K148" s="42" t="b">
        <v>0</v>
      </c>
      <c r="L148" s="42">
        <v>5</v>
      </c>
      <c r="M148" s="42" t="s">
        <v>108</v>
      </c>
      <c r="N148" s="42">
        <v>2</v>
      </c>
      <c r="O148" s="42" t="s">
        <v>122</v>
      </c>
      <c r="P148" s="42">
        <v>2</v>
      </c>
      <c r="Q148" s="42" t="s">
        <v>322</v>
      </c>
      <c r="R148" s="42" t="s">
        <v>114</v>
      </c>
      <c r="U148" s="42" t="s">
        <v>121</v>
      </c>
      <c r="V148" s="42">
        <v>1</v>
      </c>
      <c r="W148" s="42" t="s">
        <v>116</v>
      </c>
      <c r="X148" s="42">
        <v>18</v>
      </c>
      <c r="Y148" s="42" t="s">
        <v>117</v>
      </c>
      <c r="Z148" s="42">
        <v>3646.1305000000002</v>
      </c>
      <c r="AA148" s="42">
        <v>313.0865</v>
      </c>
      <c r="AB148" s="42" t="s">
        <v>36</v>
      </c>
      <c r="AC148" s="42">
        <v>1</v>
      </c>
      <c r="AD148" s="42">
        <v>1</v>
      </c>
      <c r="AE148" s="42">
        <v>1141554.24</v>
      </c>
    </row>
    <row r="149" spans="1:31" x14ac:dyDescent="0.2">
      <c r="A149" s="42" t="s">
        <v>917</v>
      </c>
      <c r="B149" s="42">
        <v>1</v>
      </c>
      <c r="C149" s="42" t="s">
        <v>56</v>
      </c>
      <c r="D149" s="42">
        <v>67</v>
      </c>
      <c r="E149" s="42" t="s">
        <v>179</v>
      </c>
      <c r="F149" s="42" t="s">
        <v>485</v>
      </c>
      <c r="G149" s="42">
        <v>2599</v>
      </c>
      <c r="H149" s="42" t="s">
        <v>486</v>
      </c>
      <c r="I149" s="42">
        <v>1149093.42</v>
      </c>
      <c r="J149" s="42">
        <v>1149093.42</v>
      </c>
      <c r="K149" s="42" t="b">
        <v>0</v>
      </c>
      <c r="L149" s="42">
        <v>5</v>
      </c>
      <c r="M149" s="42" t="s">
        <v>108</v>
      </c>
      <c r="N149" s="42">
        <v>2</v>
      </c>
      <c r="O149" s="42" t="s">
        <v>122</v>
      </c>
      <c r="P149" s="42">
        <v>2</v>
      </c>
      <c r="Q149" s="42" t="s">
        <v>322</v>
      </c>
      <c r="R149" s="42" t="s">
        <v>114</v>
      </c>
      <c r="U149" s="42" t="s">
        <v>121</v>
      </c>
      <c r="V149" s="42">
        <v>1</v>
      </c>
      <c r="W149" s="42" t="s">
        <v>116</v>
      </c>
      <c r="X149" s="42">
        <v>18</v>
      </c>
      <c r="Y149" s="42" t="s">
        <v>117</v>
      </c>
      <c r="Z149" s="42">
        <v>787643.72</v>
      </c>
      <c r="AA149" s="42">
        <v>1.4589000000000001</v>
      </c>
      <c r="AB149" s="42" t="s">
        <v>36</v>
      </c>
      <c r="AC149" s="42">
        <v>1</v>
      </c>
      <c r="AD149" s="42">
        <v>1</v>
      </c>
      <c r="AE149" s="42">
        <v>1149093.42</v>
      </c>
    </row>
    <row r="150" spans="1:31" x14ac:dyDescent="0.2">
      <c r="A150" s="42" t="s">
        <v>917</v>
      </c>
      <c r="B150" s="42">
        <v>1</v>
      </c>
      <c r="C150" s="42" t="s">
        <v>56</v>
      </c>
      <c r="D150" s="42">
        <v>67</v>
      </c>
      <c r="E150" s="42" t="s">
        <v>179</v>
      </c>
      <c r="F150" s="42" t="s">
        <v>585</v>
      </c>
      <c r="G150" s="42">
        <v>2639</v>
      </c>
      <c r="H150" s="42" t="s">
        <v>586</v>
      </c>
      <c r="I150" s="42">
        <v>1170814.81</v>
      </c>
      <c r="J150" s="42">
        <v>1170814.81</v>
      </c>
      <c r="K150" s="42" t="b">
        <v>0</v>
      </c>
      <c r="L150" s="42">
        <v>5</v>
      </c>
      <c r="M150" s="42" t="s">
        <v>108</v>
      </c>
      <c r="N150" s="42">
        <v>2</v>
      </c>
      <c r="O150" s="42" t="s">
        <v>122</v>
      </c>
      <c r="P150" s="42">
        <v>2</v>
      </c>
      <c r="Q150" s="42" t="s">
        <v>322</v>
      </c>
      <c r="R150" s="42" t="s">
        <v>114</v>
      </c>
      <c r="U150" s="42" t="s">
        <v>121</v>
      </c>
      <c r="V150" s="42">
        <v>1</v>
      </c>
      <c r="W150" s="42" t="s">
        <v>116</v>
      </c>
      <c r="X150" s="42">
        <v>18</v>
      </c>
      <c r="Y150" s="42" t="s">
        <v>117</v>
      </c>
      <c r="Z150" s="42">
        <v>1009497.1629</v>
      </c>
      <c r="AA150" s="42">
        <v>1.1597999999999999</v>
      </c>
      <c r="AB150" s="42" t="s">
        <v>36</v>
      </c>
      <c r="AC150" s="42">
        <v>1</v>
      </c>
      <c r="AD150" s="42">
        <v>1</v>
      </c>
      <c r="AE150" s="42">
        <v>1170814.81</v>
      </c>
    </row>
    <row r="151" spans="1:31" x14ac:dyDescent="0.2">
      <c r="A151" s="42" t="s">
        <v>917</v>
      </c>
      <c r="B151" s="42">
        <v>1</v>
      </c>
      <c r="C151" s="42" t="s">
        <v>56</v>
      </c>
      <c r="D151" s="42">
        <v>67</v>
      </c>
      <c r="E151" s="42" t="s">
        <v>179</v>
      </c>
      <c r="F151" s="42" t="s">
        <v>587</v>
      </c>
      <c r="G151" s="42">
        <v>2787</v>
      </c>
      <c r="H151" s="42" t="s">
        <v>588</v>
      </c>
      <c r="I151" s="42">
        <v>1179210.1100000001</v>
      </c>
      <c r="J151" s="42">
        <v>1179210.1100000001</v>
      </c>
      <c r="K151" s="42" t="b">
        <v>0</v>
      </c>
      <c r="L151" s="42">
        <v>5</v>
      </c>
      <c r="M151" s="42" t="s">
        <v>108</v>
      </c>
      <c r="N151" s="42">
        <v>1</v>
      </c>
      <c r="O151" s="42" t="s">
        <v>112</v>
      </c>
      <c r="P151" s="42">
        <v>51</v>
      </c>
      <c r="Q151" s="42" t="s">
        <v>112</v>
      </c>
      <c r="R151" s="42" t="s">
        <v>114</v>
      </c>
      <c r="U151" s="42" t="s">
        <v>121</v>
      </c>
      <c r="V151" s="42">
        <v>1</v>
      </c>
      <c r="W151" s="42" t="s">
        <v>116</v>
      </c>
      <c r="X151" s="42">
        <v>18</v>
      </c>
      <c r="Y151" s="42" t="s">
        <v>117</v>
      </c>
      <c r="Z151" s="42">
        <v>403148.75599999999</v>
      </c>
      <c r="AA151" s="42">
        <v>2.9249999999999998</v>
      </c>
      <c r="AB151" s="42" t="s">
        <v>36</v>
      </c>
      <c r="AC151" s="42">
        <v>1</v>
      </c>
      <c r="AD151" s="42">
        <v>1</v>
      </c>
      <c r="AE151" s="42">
        <v>1179210.1100000001</v>
      </c>
    </row>
    <row r="152" spans="1:31" x14ac:dyDescent="0.2">
      <c r="A152" s="42" t="s">
        <v>917</v>
      </c>
      <c r="B152" s="42">
        <v>1</v>
      </c>
      <c r="C152" s="42" t="s">
        <v>56</v>
      </c>
      <c r="D152" s="42">
        <v>67</v>
      </c>
      <c r="E152" s="42" t="s">
        <v>179</v>
      </c>
      <c r="F152" s="42" t="s">
        <v>210</v>
      </c>
      <c r="G152" s="42">
        <v>2902</v>
      </c>
      <c r="H152" s="42" t="s">
        <v>211</v>
      </c>
      <c r="I152" s="42">
        <v>346000</v>
      </c>
      <c r="J152" s="42">
        <v>346000</v>
      </c>
      <c r="K152" s="42" t="b">
        <v>0</v>
      </c>
      <c r="L152" s="42">
        <v>9</v>
      </c>
      <c r="M152" s="42" t="s">
        <v>111</v>
      </c>
      <c r="N152" s="42">
        <v>2</v>
      </c>
      <c r="O152" s="42" t="s">
        <v>122</v>
      </c>
      <c r="P152" s="42">
        <v>27</v>
      </c>
      <c r="Q152" s="42" t="s">
        <v>113</v>
      </c>
      <c r="R152" s="42" t="s">
        <v>114</v>
      </c>
      <c r="U152" s="42" t="s">
        <v>115</v>
      </c>
      <c r="V152" s="42">
        <v>1</v>
      </c>
      <c r="W152" s="42" t="s">
        <v>116</v>
      </c>
      <c r="X152" s="42">
        <v>18</v>
      </c>
      <c r="Y152" s="42" t="s">
        <v>117</v>
      </c>
      <c r="Z152" s="42">
        <v>346000</v>
      </c>
      <c r="AA152" s="42">
        <v>1</v>
      </c>
      <c r="AB152" s="42" t="s">
        <v>36</v>
      </c>
      <c r="AC152" s="42">
        <v>1</v>
      </c>
      <c r="AD152" s="42">
        <v>1</v>
      </c>
      <c r="AE152" s="42">
        <v>346000</v>
      </c>
    </row>
    <row r="153" spans="1:31" x14ac:dyDescent="0.2">
      <c r="A153" s="42" t="s">
        <v>917</v>
      </c>
      <c r="B153" s="42">
        <v>1</v>
      </c>
      <c r="C153" s="42" t="s">
        <v>56</v>
      </c>
      <c r="D153" s="42">
        <v>67</v>
      </c>
      <c r="E153" s="42" t="s">
        <v>179</v>
      </c>
      <c r="F153" s="42" t="s">
        <v>575</v>
      </c>
      <c r="G153" s="42">
        <v>3059</v>
      </c>
      <c r="H153" s="42" t="s">
        <v>576</v>
      </c>
      <c r="I153" s="42">
        <v>1117332.18</v>
      </c>
      <c r="J153" s="42">
        <v>1117332.18</v>
      </c>
      <c r="K153" s="42" t="b">
        <v>0</v>
      </c>
      <c r="L153" s="42">
        <v>5</v>
      </c>
      <c r="M153" s="42" t="s">
        <v>108</v>
      </c>
      <c r="N153" s="42">
        <v>2</v>
      </c>
      <c r="O153" s="42" t="s">
        <v>122</v>
      </c>
      <c r="P153" s="42">
        <v>2</v>
      </c>
      <c r="Q153" s="42" t="s">
        <v>322</v>
      </c>
      <c r="R153" s="42" t="s">
        <v>114</v>
      </c>
      <c r="U153" s="42" t="s">
        <v>121</v>
      </c>
      <c r="V153" s="42">
        <v>1</v>
      </c>
      <c r="W153" s="42" t="s">
        <v>116</v>
      </c>
      <c r="X153" s="42">
        <v>18</v>
      </c>
      <c r="Y153" s="42" t="s">
        <v>117</v>
      </c>
      <c r="Z153" s="42">
        <v>900348.24860000005</v>
      </c>
      <c r="AA153" s="42">
        <v>1.2410000000000001</v>
      </c>
      <c r="AB153" s="42" t="s">
        <v>36</v>
      </c>
      <c r="AC153" s="42">
        <v>1</v>
      </c>
      <c r="AD153" s="42">
        <v>1</v>
      </c>
      <c r="AE153" s="42">
        <v>1117332.18</v>
      </c>
    </row>
    <row r="154" spans="1:31" x14ac:dyDescent="0.2">
      <c r="A154" s="42" t="s">
        <v>917</v>
      </c>
      <c r="B154" s="42">
        <v>1</v>
      </c>
      <c r="C154" s="42" t="s">
        <v>56</v>
      </c>
      <c r="D154" s="42">
        <v>67</v>
      </c>
      <c r="E154" s="42" t="s">
        <v>179</v>
      </c>
      <c r="F154" s="42" t="s">
        <v>489</v>
      </c>
      <c r="G154" s="42">
        <v>3076</v>
      </c>
      <c r="H154" s="42" t="s">
        <v>490</v>
      </c>
      <c r="I154" s="42">
        <v>1736334.42</v>
      </c>
      <c r="J154" s="42">
        <v>1741291.05</v>
      </c>
      <c r="K154" s="42" t="b">
        <v>0</v>
      </c>
      <c r="L154" s="42">
        <v>4</v>
      </c>
      <c r="M154" s="42" t="s">
        <v>128</v>
      </c>
      <c r="N154" s="42">
        <v>1</v>
      </c>
      <c r="O154" s="42" t="s">
        <v>112</v>
      </c>
      <c r="P154" s="42">
        <v>14</v>
      </c>
      <c r="Q154" s="42" t="s">
        <v>323</v>
      </c>
      <c r="R154" s="42" t="s">
        <v>114</v>
      </c>
      <c r="U154" s="42" t="s">
        <v>121</v>
      </c>
      <c r="V154" s="42">
        <v>1</v>
      </c>
      <c r="W154" s="42" t="s">
        <v>116</v>
      </c>
      <c r="X154" s="42">
        <v>18</v>
      </c>
      <c r="Y154" s="42" t="s">
        <v>117</v>
      </c>
      <c r="Z154" s="42">
        <v>1376841.19</v>
      </c>
      <c r="AA154" s="42">
        <v>1.2646999999999999</v>
      </c>
      <c r="AB154" s="42" t="s">
        <v>36</v>
      </c>
      <c r="AC154" s="42">
        <v>1</v>
      </c>
      <c r="AD154" s="42">
        <v>1</v>
      </c>
      <c r="AE154" s="42">
        <v>1741291.05</v>
      </c>
    </row>
    <row r="155" spans="1:31" x14ac:dyDescent="0.2">
      <c r="A155" s="42" t="s">
        <v>917</v>
      </c>
      <c r="B155" s="42">
        <v>1</v>
      </c>
      <c r="C155" s="42" t="s">
        <v>56</v>
      </c>
      <c r="D155" s="42">
        <v>67</v>
      </c>
      <c r="E155" s="42" t="s">
        <v>179</v>
      </c>
      <c r="F155" s="42" t="s">
        <v>505</v>
      </c>
      <c r="G155" s="42">
        <v>3077</v>
      </c>
      <c r="H155" s="42" t="s">
        <v>506</v>
      </c>
      <c r="I155" s="42">
        <v>1187569.26</v>
      </c>
      <c r="J155" s="42">
        <v>1190582.8400000001</v>
      </c>
      <c r="K155" s="42" t="b">
        <v>0</v>
      </c>
      <c r="L155" s="42">
        <v>5</v>
      </c>
      <c r="M155" s="42" t="s">
        <v>108</v>
      </c>
      <c r="N155" s="42">
        <v>2</v>
      </c>
      <c r="O155" s="42" t="s">
        <v>122</v>
      </c>
      <c r="P155" s="42">
        <v>2</v>
      </c>
      <c r="Q155" s="42" t="s">
        <v>322</v>
      </c>
      <c r="R155" s="42" t="s">
        <v>114</v>
      </c>
      <c r="U155" s="42" t="s">
        <v>121</v>
      </c>
      <c r="V155" s="42">
        <v>1</v>
      </c>
      <c r="W155" s="42" t="s">
        <v>116</v>
      </c>
      <c r="X155" s="42">
        <v>18</v>
      </c>
      <c r="Y155" s="42" t="s">
        <v>117</v>
      </c>
      <c r="Z155" s="42">
        <v>726164.39899999998</v>
      </c>
      <c r="AA155" s="42">
        <v>1.6395500000000001</v>
      </c>
      <c r="AB155" s="42" t="s">
        <v>36</v>
      </c>
      <c r="AC155" s="42">
        <v>1</v>
      </c>
      <c r="AD155" s="42">
        <v>1</v>
      </c>
      <c r="AE155" s="42">
        <v>1190582.8400000001</v>
      </c>
    </row>
    <row r="156" spans="1:31" x14ac:dyDescent="0.2">
      <c r="A156" s="42" t="s">
        <v>917</v>
      </c>
      <c r="B156" s="42">
        <v>1</v>
      </c>
      <c r="C156" s="42" t="s">
        <v>56</v>
      </c>
      <c r="D156" s="42">
        <v>67</v>
      </c>
      <c r="E156" s="42" t="s">
        <v>179</v>
      </c>
      <c r="F156" s="42" t="s">
        <v>589</v>
      </c>
      <c r="G156" s="42">
        <v>3117</v>
      </c>
      <c r="H156" s="42" t="s">
        <v>590</v>
      </c>
      <c r="I156" s="42">
        <v>1749184.92</v>
      </c>
      <c r="J156" s="42">
        <v>1749184.92</v>
      </c>
      <c r="K156" s="42" t="b">
        <v>0</v>
      </c>
      <c r="L156" s="42">
        <v>4</v>
      </c>
      <c r="M156" s="42" t="s">
        <v>128</v>
      </c>
      <c r="N156" s="42">
        <v>1</v>
      </c>
      <c r="O156" s="42" t="s">
        <v>112</v>
      </c>
      <c r="P156" s="42">
        <v>37</v>
      </c>
      <c r="Q156" s="42" t="s">
        <v>321</v>
      </c>
      <c r="R156" s="42" t="s">
        <v>114</v>
      </c>
      <c r="U156" s="42" t="s">
        <v>121</v>
      </c>
      <c r="V156" s="42">
        <v>1</v>
      </c>
      <c r="W156" s="42" t="s">
        <v>116</v>
      </c>
      <c r="X156" s="42">
        <v>18</v>
      </c>
      <c r="Y156" s="42" t="s">
        <v>117</v>
      </c>
      <c r="Z156" s="42">
        <v>1487402.14</v>
      </c>
      <c r="AA156" s="42">
        <v>1.1759999999999999</v>
      </c>
      <c r="AB156" s="42" t="s">
        <v>36</v>
      </c>
      <c r="AC156" s="42">
        <v>1</v>
      </c>
      <c r="AD156" s="42">
        <v>1</v>
      </c>
      <c r="AE156" s="42">
        <v>1749184.92</v>
      </c>
    </row>
    <row r="157" spans="1:31" x14ac:dyDescent="0.2">
      <c r="A157" s="42" t="s">
        <v>917</v>
      </c>
      <c r="B157" s="42">
        <v>1</v>
      </c>
      <c r="C157" s="42" t="s">
        <v>56</v>
      </c>
      <c r="D157" s="42">
        <v>67</v>
      </c>
      <c r="E157" s="42" t="s">
        <v>179</v>
      </c>
      <c r="F157" s="42" t="s">
        <v>557</v>
      </c>
      <c r="G157" s="42">
        <v>3120</v>
      </c>
      <c r="H157" s="42" t="s">
        <v>558</v>
      </c>
      <c r="I157" s="42">
        <v>1757383.82</v>
      </c>
      <c r="J157" s="42">
        <v>1757383.82</v>
      </c>
      <c r="K157" s="42" t="b">
        <v>0</v>
      </c>
      <c r="L157" s="42">
        <v>4</v>
      </c>
      <c r="M157" s="42" t="s">
        <v>128</v>
      </c>
      <c r="N157" s="42">
        <v>1</v>
      </c>
      <c r="O157" s="42" t="s">
        <v>112</v>
      </c>
      <c r="P157" s="42">
        <v>37</v>
      </c>
      <c r="Q157" s="42" t="s">
        <v>321</v>
      </c>
      <c r="R157" s="42" t="s">
        <v>114</v>
      </c>
      <c r="U157" s="42" t="s">
        <v>121</v>
      </c>
      <c r="V157" s="42">
        <v>1</v>
      </c>
      <c r="W157" s="42" t="s">
        <v>116</v>
      </c>
      <c r="X157" s="42">
        <v>18</v>
      </c>
      <c r="Y157" s="42" t="s">
        <v>117</v>
      </c>
      <c r="Z157" s="42">
        <v>2408364.8309999998</v>
      </c>
      <c r="AA157" s="42">
        <v>0.72970000000000002</v>
      </c>
      <c r="AB157" s="42" t="s">
        <v>36</v>
      </c>
      <c r="AC157" s="42">
        <v>1</v>
      </c>
      <c r="AD157" s="42">
        <v>1</v>
      </c>
      <c r="AE157" s="42">
        <v>1757383.82</v>
      </c>
    </row>
    <row r="158" spans="1:31" x14ac:dyDescent="0.2">
      <c r="A158" s="42" t="s">
        <v>917</v>
      </c>
      <c r="B158" s="42">
        <v>1</v>
      </c>
      <c r="C158" s="42" t="s">
        <v>56</v>
      </c>
      <c r="D158" s="42">
        <v>67</v>
      </c>
      <c r="E158" s="42" t="s">
        <v>179</v>
      </c>
      <c r="F158" s="42" t="s">
        <v>152</v>
      </c>
      <c r="G158" s="42">
        <v>3159</v>
      </c>
      <c r="H158" s="42" t="s">
        <v>153</v>
      </c>
      <c r="I158" s="42">
        <v>1689500.69</v>
      </c>
      <c r="J158" s="42">
        <v>1689500.69</v>
      </c>
      <c r="K158" s="42" t="b">
        <v>0</v>
      </c>
      <c r="L158" s="42">
        <v>5</v>
      </c>
      <c r="M158" s="42" t="s">
        <v>108</v>
      </c>
      <c r="N158" s="42">
        <v>28</v>
      </c>
      <c r="O158" s="42" t="s">
        <v>120</v>
      </c>
      <c r="P158" s="42">
        <v>9</v>
      </c>
      <c r="Q158" s="42" t="s">
        <v>320</v>
      </c>
      <c r="R158" s="42" t="s">
        <v>114</v>
      </c>
      <c r="U158" s="42" t="s">
        <v>121</v>
      </c>
      <c r="V158" s="42">
        <v>1</v>
      </c>
      <c r="W158" s="42" t="s">
        <v>116</v>
      </c>
      <c r="X158" s="42">
        <v>18</v>
      </c>
      <c r="Y158" s="42" t="s">
        <v>117</v>
      </c>
      <c r="Z158" s="42">
        <v>1599905.96</v>
      </c>
      <c r="AA158" s="42">
        <v>1.056</v>
      </c>
      <c r="AB158" s="42" t="s">
        <v>36</v>
      </c>
      <c r="AC158" s="42">
        <v>1</v>
      </c>
      <c r="AD158" s="42">
        <v>1</v>
      </c>
      <c r="AE158" s="42">
        <v>1689500.69</v>
      </c>
    </row>
    <row r="159" spans="1:31" x14ac:dyDescent="0.2">
      <c r="A159" s="42" t="s">
        <v>917</v>
      </c>
      <c r="B159" s="42">
        <v>1</v>
      </c>
      <c r="C159" s="42" t="s">
        <v>56</v>
      </c>
      <c r="D159" s="42">
        <v>67</v>
      </c>
      <c r="E159" s="42" t="s">
        <v>179</v>
      </c>
      <c r="F159" s="42" t="s">
        <v>591</v>
      </c>
      <c r="G159" s="42">
        <v>4492</v>
      </c>
      <c r="H159" s="42" t="s">
        <v>592</v>
      </c>
      <c r="I159" s="42">
        <v>839317.96</v>
      </c>
      <c r="J159" s="42">
        <v>840108.95</v>
      </c>
      <c r="K159" s="42" t="b">
        <v>0</v>
      </c>
      <c r="L159" s="42">
        <v>5</v>
      </c>
      <c r="M159" s="42" t="s">
        <v>108</v>
      </c>
      <c r="N159" s="42">
        <v>29</v>
      </c>
      <c r="O159" s="42" t="s">
        <v>142</v>
      </c>
      <c r="P159" s="42">
        <v>3</v>
      </c>
      <c r="Q159" s="42" t="s">
        <v>325</v>
      </c>
      <c r="R159" s="42" t="s">
        <v>114</v>
      </c>
      <c r="U159" s="42" t="s">
        <v>121</v>
      </c>
      <c r="V159" s="42">
        <v>1</v>
      </c>
      <c r="W159" s="42" t="s">
        <v>116</v>
      </c>
      <c r="X159" s="42">
        <v>18</v>
      </c>
      <c r="Y159" s="42" t="s">
        <v>117</v>
      </c>
      <c r="Z159" s="42">
        <v>416307.70500000002</v>
      </c>
      <c r="AA159" s="42">
        <v>2.0179999999999998</v>
      </c>
      <c r="AB159" s="42" t="s">
        <v>36</v>
      </c>
      <c r="AC159" s="42">
        <v>1</v>
      </c>
      <c r="AD159" s="42">
        <v>1</v>
      </c>
      <c r="AE159" s="42">
        <v>840108.95</v>
      </c>
    </row>
    <row r="160" spans="1:31" x14ac:dyDescent="0.2">
      <c r="A160" s="42" t="s">
        <v>917</v>
      </c>
      <c r="B160" s="42">
        <v>1</v>
      </c>
      <c r="C160" s="42" t="s">
        <v>56</v>
      </c>
      <c r="D160" s="42">
        <v>67</v>
      </c>
      <c r="E160" s="42" t="s">
        <v>179</v>
      </c>
      <c r="F160" s="42" t="s">
        <v>268</v>
      </c>
      <c r="G160" s="42">
        <v>5743</v>
      </c>
      <c r="H160" s="42" t="s">
        <v>275</v>
      </c>
      <c r="I160" s="42">
        <v>1757717.52</v>
      </c>
      <c r="J160" s="42">
        <v>1757717.52</v>
      </c>
      <c r="K160" s="42" t="b">
        <v>0</v>
      </c>
      <c r="L160" s="42">
        <v>4</v>
      </c>
      <c r="M160" s="42" t="s">
        <v>128</v>
      </c>
      <c r="N160" s="42">
        <v>1</v>
      </c>
      <c r="O160" s="42" t="s">
        <v>112</v>
      </c>
      <c r="P160" s="42">
        <v>14</v>
      </c>
      <c r="Q160" s="42" t="s">
        <v>323</v>
      </c>
      <c r="R160" s="42" t="s">
        <v>114</v>
      </c>
      <c r="U160" s="42" t="s">
        <v>121</v>
      </c>
      <c r="V160" s="42">
        <v>1</v>
      </c>
      <c r="W160" s="42" t="s">
        <v>116</v>
      </c>
      <c r="X160" s="42">
        <v>18</v>
      </c>
      <c r="Y160" s="42" t="s">
        <v>117</v>
      </c>
      <c r="Z160" s="42">
        <v>1525796.4571</v>
      </c>
      <c r="AA160" s="42">
        <v>1.1519999999999999</v>
      </c>
      <c r="AB160" s="42" t="s">
        <v>36</v>
      </c>
      <c r="AC160" s="42">
        <v>1</v>
      </c>
      <c r="AD160" s="42">
        <v>1</v>
      </c>
      <c r="AE160" s="42">
        <v>1757717.52</v>
      </c>
    </row>
    <row r="161" spans="1:31" x14ac:dyDescent="0.2">
      <c r="A161" s="42" t="s">
        <v>917</v>
      </c>
      <c r="B161" s="42">
        <v>1</v>
      </c>
      <c r="C161" s="42" t="s">
        <v>56</v>
      </c>
      <c r="D161" s="42">
        <v>67</v>
      </c>
      <c r="E161" s="42" t="s">
        <v>179</v>
      </c>
      <c r="F161" s="42" t="s">
        <v>162</v>
      </c>
      <c r="G161" s="42">
        <v>6057</v>
      </c>
      <c r="H161" s="42" t="s">
        <v>163</v>
      </c>
      <c r="I161" s="42">
        <v>1175491.17</v>
      </c>
      <c r="J161" s="42">
        <v>1175491.17</v>
      </c>
      <c r="K161" s="42" t="b">
        <v>0</v>
      </c>
      <c r="L161" s="42">
        <v>4</v>
      </c>
      <c r="M161" s="42" t="s">
        <v>128</v>
      </c>
      <c r="N161" s="42">
        <v>1</v>
      </c>
      <c r="O161" s="42" t="s">
        <v>112</v>
      </c>
      <c r="P161" s="42">
        <v>14</v>
      </c>
      <c r="Q161" s="42" t="s">
        <v>323</v>
      </c>
      <c r="R161" s="42" t="s">
        <v>114</v>
      </c>
      <c r="U161" s="42" t="s">
        <v>121</v>
      </c>
      <c r="V161" s="42">
        <v>1</v>
      </c>
      <c r="W161" s="42" t="s">
        <v>116</v>
      </c>
      <c r="X161" s="42">
        <v>18</v>
      </c>
      <c r="Y161" s="42" t="s">
        <v>117</v>
      </c>
      <c r="Z161" s="42">
        <v>110019.39</v>
      </c>
      <c r="AA161" s="42">
        <v>10.6844</v>
      </c>
      <c r="AB161" s="42" t="s">
        <v>36</v>
      </c>
      <c r="AC161" s="42">
        <v>1</v>
      </c>
      <c r="AD161" s="42">
        <v>1</v>
      </c>
      <c r="AE161" s="42">
        <v>1175491.17</v>
      </c>
    </row>
    <row r="162" spans="1:31" x14ac:dyDescent="0.2">
      <c r="A162" s="42" t="s">
        <v>917</v>
      </c>
      <c r="B162" s="42">
        <v>1</v>
      </c>
      <c r="C162" s="42" t="s">
        <v>56</v>
      </c>
      <c r="D162" s="42">
        <v>67</v>
      </c>
      <c r="E162" s="42" t="s">
        <v>179</v>
      </c>
      <c r="F162" s="42" t="s">
        <v>593</v>
      </c>
      <c r="G162" s="42">
        <v>6493</v>
      </c>
      <c r="H162" s="42" t="s">
        <v>594</v>
      </c>
      <c r="I162" s="42">
        <v>599434.26</v>
      </c>
      <c r="J162" s="42">
        <v>599434.26</v>
      </c>
      <c r="K162" s="42" t="b">
        <v>0</v>
      </c>
      <c r="L162" s="42">
        <v>4</v>
      </c>
      <c r="M162" s="42" t="s">
        <v>128</v>
      </c>
      <c r="N162" s="42">
        <v>5</v>
      </c>
      <c r="O162" s="42" t="s">
        <v>143</v>
      </c>
      <c r="P162" s="42">
        <v>89</v>
      </c>
      <c r="Q162" s="42" t="s">
        <v>337</v>
      </c>
      <c r="R162" s="42" t="s">
        <v>114</v>
      </c>
      <c r="U162" s="42" t="s">
        <v>121</v>
      </c>
      <c r="V162" s="42">
        <v>1</v>
      </c>
      <c r="W162" s="42" t="s">
        <v>116</v>
      </c>
      <c r="X162" s="42">
        <v>18</v>
      </c>
      <c r="Y162" s="42" t="s">
        <v>117</v>
      </c>
      <c r="Z162" s="42">
        <v>809608.67500000005</v>
      </c>
      <c r="AA162" s="42">
        <v>0.74039999999999995</v>
      </c>
      <c r="AB162" s="42" t="s">
        <v>36</v>
      </c>
      <c r="AC162" s="42">
        <v>1</v>
      </c>
      <c r="AD162" s="42">
        <v>1</v>
      </c>
      <c r="AE162" s="42">
        <v>599434.26</v>
      </c>
    </row>
    <row r="163" spans="1:31" x14ac:dyDescent="0.2">
      <c r="A163" s="42" t="s">
        <v>917</v>
      </c>
      <c r="B163" s="42">
        <v>1</v>
      </c>
      <c r="C163" s="42" t="s">
        <v>56</v>
      </c>
      <c r="D163" s="42">
        <v>67</v>
      </c>
      <c r="E163" s="42" t="s">
        <v>179</v>
      </c>
      <c r="F163" s="42" t="s">
        <v>595</v>
      </c>
      <c r="G163" s="42">
        <v>6674</v>
      </c>
      <c r="H163" s="42" t="s">
        <v>596</v>
      </c>
      <c r="I163" s="42">
        <v>1122116.0900000001</v>
      </c>
      <c r="J163" s="42">
        <v>1122116.0900000001</v>
      </c>
      <c r="K163" s="42" t="b">
        <v>0</v>
      </c>
      <c r="L163" s="42">
        <v>5</v>
      </c>
      <c r="M163" s="42" t="s">
        <v>108</v>
      </c>
      <c r="N163" s="42">
        <v>2</v>
      </c>
      <c r="O163" s="42" t="s">
        <v>122</v>
      </c>
      <c r="P163" s="42">
        <v>2</v>
      </c>
      <c r="Q163" s="42" t="s">
        <v>322</v>
      </c>
      <c r="R163" s="42" t="s">
        <v>114</v>
      </c>
      <c r="U163" s="42" t="s">
        <v>121</v>
      </c>
      <c r="V163" s="42">
        <v>1</v>
      </c>
      <c r="W163" s="42" t="s">
        <v>116</v>
      </c>
      <c r="X163" s="42">
        <v>18</v>
      </c>
      <c r="Y163" s="42" t="s">
        <v>117</v>
      </c>
      <c r="Z163" s="42">
        <v>114754.57</v>
      </c>
      <c r="AA163" s="42">
        <v>9.7783999999999995</v>
      </c>
      <c r="AB163" s="42" t="s">
        <v>36</v>
      </c>
      <c r="AC163" s="42">
        <v>1</v>
      </c>
      <c r="AD163" s="42">
        <v>1</v>
      </c>
      <c r="AE163" s="42">
        <v>1122116.0900000001</v>
      </c>
    </row>
    <row r="164" spans="1:31" x14ac:dyDescent="0.2">
      <c r="A164" s="42" t="s">
        <v>917</v>
      </c>
      <c r="B164" s="42">
        <v>1</v>
      </c>
      <c r="C164" s="42" t="s">
        <v>56</v>
      </c>
      <c r="D164" s="42">
        <v>67</v>
      </c>
      <c r="E164" s="42" t="s">
        <v>179</v>
      </c>
      <c r="F164" s="42" t="s">
        <v>597</v>
      </c>
      <c r="G164" s="42">
        <v>9277</v>
      </c>
      <c r="H164" s="42" t="s">
        <v>598</v>
      </c>
      <c r="I164" s="42">
        <v>548214.48</v>
      </c>
      <c r="J164" s="42">
        <v>548214.48</v>
      </c>
      <c r="K164" s="42" t="b">
        <v>0</v>
      </c>
      <c r="L164" s="42">
        <v>4</v>
      </c>
      <c r="M164" s="42" t="s">
        <v>128</v>
      </c>
      <c r="N164" s="42">
        <v>5</v>
      </c>
      <c r="O164" s="42" t="s">
        <v>143</v>
      </c>
      <c r="P164" s="42">
        <v>89</v>
      </c>
      <c r="Q164" s="42" t="s">
        <v>337</v>
      </c>
      <c r="R164" s="42" t="s">
        <v>114</v>
      </c>
      <c r="U164" s="42" t="s">
        <v>121</v>
      </c>
      <c r="V164" s="42">
        <v>1</v>
      </c>
      <c r="W164" s="42" t="s">
        <v>116</v>
      </c>
      <c r="X164" s="42">
        <v>18</v>
      </c>
      <c r="Y164" s="42" t="s">
        <v>117</v>
      </c>
      <c r="Z164" s="42">
        <v>511441.81699999998</v>
      </c>
      <c r="AA164" s="42">
        <v>1.0719000000000001</v>
      </c>
      <c r="AB164" s="42" t="s">
        <v>36</v>
      </c>
      <c r="AC164" s="42">
        <v>1</v>
      </c>
      <c r="AD164" s="42">
        <v>1</v>
      </c>
      <c r="AE164" s="42">
        <v>548214.48</v>
      </c>
    </row>
    <row r="165" spans="1:31" x14ac:dyDescent="0.2">
      <c r="A165" s="42" t="s">
        <v>917</v>
      </c>
      <c r="B165" s="42">
        <v>1</v>
      </c>
      <c r="C165" s="42" t="s">
        <v>56</v>
      </c>
      <c r="D165" s="42">
        <v>67</v>
      </c>
      <c r="E165" s="42" t="s">
        <v>179</v>
      </c>
      <c r="F165" s="42" t="s">
        <v>344</v>
      </c>
      <c r="G165" s="42">
        <v>10176</v>
      </c>
      <c r="H165" s="42" t="s">
        <v>345</v>
      </c>
      <c r="I165" s="42">
        <v>1116805.01</v>
      </c>
      <c r="J165" s="42">
        <v>1116805.01</v>
      </c>
      <c r="K165" s="42" t="b">
        <v>0</v>
      </c>
      <c r="L165" s="42">
        <v>5</v>
      </c>
      <c r="M165" s="42" t="s">
        <v>108</v>
      </c>
      <c r="N165" s="42">
        <v>2</v>
      </c>
      <c r="O165" s="42" t="s">
        <v>122</v>
      </c>
      <c r="P165" s="42">
        <v>2</v>
      </c>
      <c r="Q165" s="42" t="s">
        <v>322</v>
      </c>
      <c r="R165" s="42" t="s">
        <v>114</v>
      </c>
      <c r="U165" s="42" t="s">
        <v>121</v>
      </c>
      <c r="V165" s="42">
        <v>1</v>
      </c>
      <c r="W165" s="42" t="s">
        <v>116</v>
      </c>
      <c r="X165" s="42">
        <v>18</v>
      </c>
      <c r="Y165" s="42" t="s">
        <v>117</v>
      </c>
      <c r="Z165" s="42">
        <v>971388.2</v>
      </c>
      <c r="AA165" s="42">
        <v>1.1496999999999999</v>
      </c>
      <c r="AB165" s="42" t="s">
        <v>36</v>
      </c>
      <c r="AC165" s="42">
        <v>1</v>
      </c>
      <c r="AD165" s="42">
        <v>1</v>
      </c>
      <c r="AE165" s="42">
        <v>1116805.01</v>
      </c>
    </row>
    <row r="166" spans="1:31" x14ac:dyDescent="0.2">
      <c r="A166" s="42" t="s">
        <v>917</v>
      </c>
      <c r="B166" s="42">
        <v>1</v>
      </c>
      <c r="C166" s="42" t="s">
        <v>56</v>
      </c>
      <c r="D166" s="42">
        <v>67</v>
      </c>
      <c r="E166" s="42" t="s">
        <v>179</v>
      </c>
      <c r="F166" s="42" t="s">
        <v>567</v>
      </c>
      <c r="G166" s="42">
        <v>11815</v>
      </c>
      <c r="H166" s="42" t="s">
        <v>568</v>
      </c>
      <c r="I166" s="42">
        <v>1143176.21</v>
      </c>
      <c r="J166" s="42">
        <v>1143176.21</v>
      </c>
      <c r="K166" s="42" t="b">
        <v>0</v>
      </c>
      <c r="L166" s="42">
        <v>5</v>
      </c>
      <c r="M166" s="42" t="s">
        <v>108</v>
      </c>
      <c r="N166" s="42">
        <v>1</v>
      </c>
      <c r="O166" s="42" t="s">
        <v>112</v>
      </c>
      <c r="P166" s="42">
        <v>115</v>
      </c>
      <c r="Q166" s="42" t="s">
        <v>254</v>
      </c>
      <c r="R166" s="42" t="s">
        <v>114</v>
      </c>
      <c r="U166" s="42" t="s">
        <v>121</v>
      </c>
      <c r="V166" s="42">
        <v>1</v>
      </c>
      <c r="W166" s="42" t="s">
        <v>116</v>
      </c>
      <c r="X166" s="42">
        <v>18</v>
      </c>
      <c r="Y166" s="42" t="s">
        <v>117</v>
      </c>
      <c r="Z166" s="42">
        <v>876668.87399999995</v>
      </c>
      <c r="AA166" s="42">
        <v>1.304</v>
      </c>
      <c r="AB166" s="42" t="s">
        <v>36</v>
      </c>
      <c r="AC166" s="42">
        <v>1</v>
      </c>
      <c r="AD166" s="42">
        <v>1</v>
      </c>
      <c r="AE166" s="42">
        <v>1143176.21</v>
      </c>
    </row>
    <row r="167" spans="1:31" x14ac:dyDescent="0.2">
      <c r="A167" s="42" t="s">
        <v>917</v>
      </c>
      <c r="B167" s="42">
        <v>1</v>
      </c>
      <c r="C167" s="42" t="s">
        <v>55</v>
      </c>
      <c r="D167" s="42">
        <v>68</v>
      </c>
      <c r="E167" s="42" t="s">
        <v>178</v>
      </c>
      <c r="F167" s="42" t="s">
        <v>123</v>
      </c>
      <c r="G167" s="42">
        <v>2529</v>
      </c>
      <c r="H167" s="42" t="s">
        <v>124</v>
      </c>
      <c r="I167" s="42">
        <v>2912229.8</v>
      </c>
      <c r="J167" s="42">
        <v>2912229.8</v>
      </c>
      <c r="K167" s="42" t="b">
        <v>0</v>
      </c>
      <c r="L167" s="42">
        <v>5</v>
      </c>
      <c r="M167" s="42" t="s">
        <v>108</v>
      </c>
      <c r="N167" s="42">
        <v>2</v>
      </c>
      <c r="O167" s="42" t="s">
        <v>122</v>
      </c>
      <c r="P167" s="42">
        <v>1</v>
      </c>
      <c r="Q167" s="42" t="s">
        <v>326</v>
      </c>
      <c r="R167" s="42" t="s">
        <v>114</v>
      </c>
      <c r="U167" s="42" t="s">
        <v>121</v>
      </c>
      <c r="V167" s="42">
        <v>1</v>
      </c>
      <c r="W167" s="42" t="s">
        <v>116</v>
      </c>
      <c r="X167" s="42">
        <v>18</v>
      </c>
      <c r="Y167" s="42" t="s">
        <v>117</v>
      </c>
      <c r="Z167" s="42">
        <v>11744.8559</v>
      </c>
      <c r="AA167" s="42">
        <v>247.9579</v>
      </c>
      <c r="AB167" s="42" t="s">
        <v>36</v>
      </c>
      <c r="AC167" s="42">
        <v>1</v>
      </c>
      <c r="AD167" s="42">
        <v>1</v>
      </c>
      <c r="AE167" s="42">
        <v>2912229.8</v>
      </c>
    </row>
    <row r="168" spans="1:31" x14ac:dyDescent="0.2">
      <c r="A168" s="42" t="s">
        <v>917</v>
      </c>
      <c r="B168" s="42">
        <v>1</v>
      </c>
      <c r="C168" s="42" t="s">
        <v>55</v>
      </c>
      <c r="D168" s="42">
        <v>68</v>
      </c>
      <c r="E168" s="42" t="s">
        <v>178</v>
      </c>
      <c r="F168" s="42" t="s">
        <v>499</v>
      </c>
      <c r="G168" s="42">
        <v>2568</v>
      </c>
      <c r="H168" s="42" t="s">
        <v>500</v>
      </c>
      <c r="I168" s="42">
        <v>2196934.64</v>
      </c>
      <c r="J168" s="42">
        <v>2196934.64</v>
      </c>
      <c r="K168" s="42" t="b">
        <v>0</v>
      </c>
      <c r="L168" s="42">
        <v>5</v>
      </c>
      <c r="M168" s="42" t="s">
        <v>108</v>
      </c>
      <c r="N168" s="42">
        <v>2</v>
      </c>
      <c r="O168" s="42" t="s">
        <v>122</v>
      </c>
      <c r="P168" s="42">
        <v>1</v>
      </c>
      <c r="Q168" s="42" t="s">
        <v>326</v>
      </c>
      <c r="R168" s="42" t="s">
        <v>114</v>
      </c>
      <c r="U168" s="42" t="s">
        <v>121</v>
      </c>
      <c r="V168" s="42">
        <v>1</v>
      </c>
      <c r="W168" s="42" t="s">
        <v>116</v>
      </c>
      <c r="X168" s="42">
        <v>18</v>
      </c>
      <c r="Y168" s="42" t="s">
        <v>117</v>
      </c>
      <c r="Z168" s="42">
        <v>714589.72</v>
      </c>
      <c r="AA168" s="42">
        <v>3.0743999999999998</v>
      </c>
      <c r="AB168" s="42" t="s">
        <v>36</v>
      </c>
      <c r="AC168" s="42">
        <v>1</v>
      </c>
      <c r="AD168" s="42">
        <v>1</v>
      </c>
      <c r="AE168" s="42">
        <v>2196934.64</v>
      </c>
    </row>
    <row r="169" spans="1:31" x14ac:dyDescent="0.2">
      <c r="A169" s="42" t="s">
        <v>917</v>
      </c>
      <c r="B169" s="42">
        <v>1</v>
      </c>
      <c r="C169" s="42" t="s">
        <v>55</v>
      </c>
      <c r="D169" s="42">
        <v>68</v>
      </c>
      <c r="E169" s="42" t="s">
        <v>178</v>
      </c>
      <c r="F169" s="42" t="s">
        <v>132</v>
      </c>
      <c r="G169" s="42">
        <v>2856</v>
      </c>
      <c r="H169" s="42" t="s">
        <v>133</v>
      </c>
      <c r="I169" s="42">
        <v>3320371.35</v>
      </c>
      <c r="J169" s="42">
        <v>3320371.35</v>
      </c>
      <c r="K169" s="42" t="b">
        <v>0</v>
      </c>
      <c r="L169" s="42">
        <v>5</v>
      </c>
      <c r="M169" s="42" t="s">
        <v>108</v>
      </c>
      <c r="N169" s="42">
        <v>4</v>
      </c>
      <c r="O169" s="42" t="s">
        <v>109</v>
      </c>
      <c r="P169" s="42">
        <v>6</v>
      </c>
      <c r="Q169" s="42" t="s">
        <v>109</v>
      </c>
      <c r="R169" s="42" t="s">
        <v>114</v>
      </c>
      <c r="U169" s="42" t="s">
        <v>121</v>
      </c>
      <c r="V169" s="42">
        <v>1</v>
      </c>
      <c r="W169" s="42" t="s">
        <v>116</v>
      </c>
      <c r="X169" s="42">
        <v>18</v>
      </c>
      <c r="Y169" s="42" t="s">
        <v>117</v>
      </c>
      <c r="Z169" s="42">
        <v>960172.16</v>
      </c>
      <c r="AA169" s="42">
        <v>3.4581</v>
      </c>
      <c r="AB169" s="42" t="s">
        <v>36</v>
      </c>
      <c r="AC169" s="42">
        <v>1</v>
      </c>
      <c r="AD169" s="42">
        <v>1</v>
      </c>
      <c r="AE169" s="42">
        <v>3320371.35</v>
      </c>
    </row>
    <row r="170" spans="1:31" x14ac:dyDescent="0.2">
      <c r="A170" s="42" t="s">
        <v>917</v>
      </c>
      <c r="B170" s="42">
        <v>1</v>
      </c>
      <c r="C170" s="42" t="s">
        <v>55</v>
      </c>
      <c r="D170" s="42">
        <v>68</v>
      </c>
      <c r="E170" s="42" t="s">
        <v>178</v>
      </c>
      <c r="F170" s="42" t="s">
        <v>210</v>
      </c>
      <c r="G170" s="42">
        <v>2902</v>
      </c>
      <c r="H170" s="42" t="s">
        <v>211</v>
      </c>
      <c r="I170" s="42">
        <v>846000</v>
      </c>
      <c r="J170" s="42">
        <v>846000</v>
      </c>
      <c r="K170" s="42" t="b">
        <v>0</v>
      </c>
      <c r="L170" s="42">
        <v>9</v>
      </c>
      <c r="M170" s="42" t="s">
        <v>111</v>
      </c>
      <c r="N170" s="42">
        <v>2</v>
      </c>
      <c r="O170" s="42" t="s">
        <v>122</v>
      </c>
      <c r="P170" s="42">
        <v>27</v>
      </c>
      <c r="Q170" s="42" t="s">
        <v>113</v>
      </c>
      <c r="R170" s="42" t="s">
        <v>114</v>
      </c>
      <c r="U170" s="42" t="s">
        <v>115</v>
      </c>
      <c r="V170" s="42">
        <v>1</v>
      </c>
      <c r="W170" s="42" t="s">
        <v>116</v>
      </c>
      <c r="X170" s="42">
        <v>18</v>
      </c>
      <c r="Y170" s="42" t="s">
        <v>117</v>
      </c>
      <c r="Z170" s="42">
        <v>846000</v>
      </c>
      <c r="AA170" s="42">
        <v>1</v>
      </c>
      <c r="AB170" s="42" t="s">
        <v>36</v>
      </c>
      <c r="AC170" s="42">
        <v>1</v>
      </c>
      <c r="AD170" s="42">
        <v>1</v>
      </c>
      <c r="AE170" s="42">
        <v>846000</v>
      </c>
    </row>
    <row r="171" spans="1:31" x14ac:dyDescent="0.2">
      <c r="A171" s="42" t="s">
        <v>917</v>
      </c>
      <c r="B171" s="42">
        <v>1</v>
      </c>
      <c r="C171" s="42" t="s">
        <v>55</v>
      </c>
      <c r="D171" s="42">
        <v>68</v>
      </c>
      <c r="E171" s="42" t="s">
        <v>178</v>
      </c>
      <c r="F171" s="42" t="s">
        <v>573</v>
      </c>
      <c r="G171" s="42">
        <v>3005</v>
      </c>
      <c r="H171" s="42" t="s">
        <v>574</v>
      </c>
      <c r="I171" s="42">
        <v>2395331.56</v>
      </c>
      <c r="J171" s="42">
        <v>2395331.56</v>
      </c>
      <c r="K171" s="42" t="b">
        <v>0</v>
      </c>
      <c r="L171" s="42">
        <v>4</v>
      </c>
      <c r="M171" s="42" t="s">
        <v>128</v>
      </c>
      <c r="N171" s="42">
        <v>1</v>
      </c>
      <c r="O171" s="42" t="s">
        <v>112</v>
      </c>
      <c r="P171" s="42">
        <v>250</v>
      </c>
      <c r="Q171" s="42" t="s">
        <v>334</v>
      </c>
      <c r="R171" s="42" t="s">
        <v>114</v>
      </c>
      <c r="U171" s="42" t="s">
        <v>121</v>
      </c>
      <c r="V171" s="42">
        <v>1</v>
      </c>
      <c r="W171" s="42" t="s">
        <v>116</v>
      </c>
      <c r="X171" s="42">
        <v>18</v>
      </c>
      <c r="Y171" s="42" t="s">
        <v>117</v>
      </c>
      <c r="Z171" s="42">
        <v>4004901.4550000001</v>
      </c>
      <c r="AA171" s="42">
        <v>0.59809999999999997</v>
      </c>
      <c r="AB171" s="42" t="s">
        <v>36</v>
      </c>
      <c r="AC171" s="42">
        <v>1</v>
      </c>
      <c r="AD171" s="42">
        <v>1</v>
      </c>
      <c r="AE171" s="42">
        <v>2395331.56</v>
      </c>
    </row>
    <row r="172" spans="1:31" x14ac:dyDescent="0.2">
      <c r="A172" s="42" t="s">
        <v>917</v>
      </c>
      <c r="B172" s="42">
        <v>1</v>
      </c>
      <c r="C172" s="42" t="s">
        <v>55</v>
      </c>
      <c r="D172" s="42">
        <v>68</v>
      </c>
      <c r="E172" s="42" t="s">
        <v>178</v>
      </c>
      <c r="F172" s="42" t="s">
        <v>489</v>
      </c>
      <c r="G172" s="42">
        <v>3076</v>
      </c>
      <c r="H172" s="42" t="s">
        <v>490</v>
      </c>
      <c r="I172" s="42">
        <v>3082623.8</v>
      </c>
      <c r="J172" s="42">
        <v>3091423.62</v>
      </c>
      <c r="K172" s="42" t="b">
        <v>0</v>
      </c>
      <c r="L172" s="42">
        <v>4</v>
      </c>
      <c r="M172" s="42" t="s">
        <v>128</v>
      </c>
      <c r="N172" s="42">
        <v>1</v>
      </c>
      <c r="O172" s="42" t="s">
        <v>112</v>
      </c>
      <c r="P172" s="42">
        <v>14</v>
      </c>
      <c r="Q172" s="42" t="s">
        <v>323</v>
      </c>
      <c r="R172" s="42" t="s">
        <v>114</v>
      </c>
      <c r="U172" s="42" t="s">
        <v>121</v>
      </c>
      <c r="V172" s="42">
        <v>1</v>
      </c>
      <c r="W172" s="42" t="s">
        <v>116</v>
      </c>
      <c r="X172" s="42">
        <v>18</v>
      </c>
      <c r="Y172" s="42" t="s">
        <v>117</v>
      </c>
      <c r="Z172" s="42">
        <v>2444392.8289999999</v>
      </c>
      <c r="AA172" s="42">
        <v>1.2646999999999999</v>
      </c>
      <c r="AB172" s="42" t="s">
        <v>36</v>
      </c>
      <c r="AC172" s="42">
        <v>1</v>
      </c>
      <c r="AD172" s="42">
        <v>1</v>
      </c>
      <c r="AE172" s="42">
        <v>3091423.61</v>
      </c>
    </row>
    <row r="173" spans="1:31" x14ac:dyDescent="0.2">
      <c r="A173" s="42" t="s">
        <v>917</v>
      </c>
      <c r="B173" s="42">
        <v>1</v>
      </c>
      <c r="C173" s="42" t="s">
        <v>55</v>
      </c>
      <c r="D173" s="42">
        <v>68</v>
      </c>
      <c r="E173" s="42" t="s">
        <v>178</v>
      </c>
      <c r="F173" s="42" t="s">
        <v>148</v>
      </c>
      <c r="G173" s="42">
        <v>3095</v>
      </c>
      <c r="H173" s="42" t="s">
        <v>149</v>
      </c>
      <c r="I173" s="42">
        <v>2884303.85</v>
      </c>
      <c r="J173" s="42">
        <v>2884303.85</v>
      </c>
      <c r="K173" s="42" t="b">
        <v>0</v>
      </c>
      <c r="L173" s="42">
        <v>5</v>
      </c>
      <c r="M173" s="42" t="s">
        <v>108</v>
      </c>
      <c r="N173" s="42">
        <v>28</v>
      </c>
      <c r="O173" s="42" t="s">
        <v>120</v>
      </c>
      <c r="P173" s="42">
        <v>9</v>
      </c>
      <c r="Q173" s="42" t="s">
        <v>320</v>
      </c>
      <c r="R173" s="42" t="s">
        <v>114</v>
      </c>
      <c r="U173" s="42" t="s">
        <v>121</v>
      </c>
      <c r="V173" s="42">
        <v>1</v>
      </c>
      <c r="W173" s="42" t="s">
        <v>116</v>
      </c>
      <c r="X173" s="42">
        <v>18</v>
      </c>
      <c r="Y173" s="42" t="s">
        <v>117</v>
      </c>
      <c r="Z173" s="42">
        <v>196077.76</v>
      </c>
      <c r="AA173" s="42">
        <v>14.71</v>
      </c>
      <c r="AB173" s="42" t="s">
        <v>36</v>
      </c>
      <c r="AC173" s="42">
        <v>1</v>
      </c>
      <c r="AD173" s="42">
        <v>1</v>
      </c>
      <c r="AE173" s="42">
        <v>2884303.85</v>
      </c>
    </row>
    <row r="174" spans="1:31" x14ac:dyDescent="0.2">
      <c r="A174" s="42" t="s">
        <v>917</v>
      </c>
      <c r="B174" s="42">
        <v>1</v>
      </c>
      <c r="C174" s="42" t="s">
        <v>55</v>
      </c>
      <c r="D174" s="42">
        <v>68</v>
      </c>
      <c r="E174" s="42" t="s">
        <v>178</v>
      </c>
      <c r="F174" s="42" t="s">
        <v>577</v>
      </c>
      <c r="G174" s="42">
        <v>3122</v>
      </c>
      <c r="H174" s="42" t="s">
        <v>578</v>
      </c>
      <c r="I174" s="42">
        <v>2894099</v>
      </c>
      <c r="J174" s="42">
        <v>2894099</v>
      </c>
      <c r="K174" s="42" t="b">
        <v>0</v>
      </c>
      <c r="L174" s="42">
        <v>5</v>
      </c>
      <c r="M174" s="42" t="s">
        <v>108</v>
      </c>
      <c r="N174" s="42">
        <v>2</v>
      </c>
      <c r="O174" s="42" t="s">
        <v>122</v>
      </c>
      <c r="P174" s="42">
        <v>1</v>
      </c>
      <c r="Q174" s="42" t="s">
        <v>326</v>
      </c>
      <c r="R174" s="42" t="s">
        <v>114</v>
      </c>
      <c r="U174" s="42" t="s">
        <v>121</v>
      </c>
      <c r="V174" s="42">
        <v>1</v>
      </c>
      <c r="W174" s="42" t="s">
        <v>116</v>
      </c>
      <c r="X174" s="42">
        <v>18</v>
      </c>
      <c r="Y174" s="42" t="s">
        <v>117</v>
      </c>
      <c r="Z174" s="42">
        <v>650944.44480000006</v>
      </c>
      <c r="AA174" s="42">
        <v>4.4459999999999997</v>
      </c>
      <c r="AB174" s="42" t="s">
        <v>36</v>
      </c>
      <c r="AC174" s="42">
        <v>1</v>
      </c>
      <c r="AD174" s="42">
        <v>1</v>
      </c>
      <c r="AE174" s="42">
        <v>2894099</v>
      </c>
    </row>
    <row r="175" spans="1:31" x14ac:dyDescent="0.2">
      <c r="A175" s="42" t="s">
        <v>917</v>
      </c>
      <c r="B175" s="42">
        <v>1</v>
      </c>
      <c r="C175" s="42" t="s">
        <v>55</v>
      </c>
      <c r="D175" s="42">
        <v>68</v>
      </c>
      <c r="E175" s="42" t="s">
        <v>178</v>
      </c>
      <c r="F175" s="42" t="s">
        <v>599</v>
      </c>
      <c r="G175" s="42">
        <v>4494</v>
      </c>
      <c r="H175" s="42" t="s">
        <v>600</v>
      </c>
      <c r="I175" s="42">
        <v>2848496</v>
      </c>
      <c r="J175" s="42">
        <v>2853930.33</v>
      </c>
      <c r="K175" s="42" t="b">
        <v>0</v>
      </c>
      <c r="L175" s="42">
        <v>5</v>
      </c>
      <c r="M175" s="42" t="s">
        <v>108</v>
      </c>
      <c r="N175" s="42">
        <v>28</v>
      </c>
      <c r="O175" s="42" t="s">
        <v>120</v>
      </c>
      <c r="P175" s="42">
        <v>9</v>
      </c>
      <c r="Q175" s="42" t="s">
        <v>320</v>
      </c>
      <c r="R175" s="42" t="s">
        <v>114</v>
      </c>
      <c r="U175" s="42" t="s">
        <v>121</v>
      </c>
      <c r="V175" s="42">
        <v>1</v>
      </c>
      <c r="W175" s="42" t="s">
        <v>116</v>
      </c>
      <c r="X175" s="42">
        <v>18</v>
      </c>
      <c r="Y175" s="42" t="s">
        <v>117</v>
      </c>
      <c r="Z175" s="42">
        <v>1811444.1939999999</v>
      </c>
      <c r="AA175" s="42">
        <v>1.5754999999999999</v>
      </c>
      <c r="AB175" s="42" t="s">
        <v>36</v>
      </c>
      <c r="AC175" s="42">
        <v>1</v>
      </c>
      <c r="AD175" s="42">
        <v>1</v>
      </c>
      <c r="AE175" s="42">
        <v>2853930.33</v>
      </c>
    </row>
    <row r="176" spans="1:31" x14ac:dyDescent="0.2">
      <c r="A176" s="42" t="s">
        <v>917</v>
      </c>
      <c r="B176" s="42">
        <v>1</v>
      </c>
      <c r="C176" s="42" t="s">
        <v>55</v>
      </c>
      <c r="D176" s="42">
        <v>68</v>
      </c>
      <c r="E176" s="42" t="s">
        <v>178</v>
      </c>
      <c r="F176" s="42" t="s">
        <v>164</v>
      </c>
      <c r="G176" s="42">
        <v>6750</v>
      </c>
      <c r="H176" s="42" t="s">
        <v>165</v>
      </c>
      <c r="I176" s="42">
        <v>2814436.14</v>
      </c>
      <c r="J176" s="42">
        <v>2814436.14</v>
      </c>
      <c r="K176" s="42" t="b">
        <v>0</v>
      </c>
      <c r="L176" s="42">
        <v>5</v>
      </c>
      <c r="M176" s="42" t="s">
        <v>108</v>
      </c>
      <c r="N176" s="42">
        <v>5</v>
      </c>
      <c r="O176" s="42" t="s">
        <v>143</v>
      </c>
      <c r="P176" s="42">
        <v>55</v>
      </c>
      <c r="Q176" s="42" t="s">
        <v>143</v>
      </c>
      <c r="R176" s="42" t="s">
        <v>114</v>
      </c>
      <c r="U176" s="42" t="s">
        <v>121</v>
      </c>
      <c r="V176" s="42">
        <v>1</v>
      </c>
      <c r="W176" s="42" t="s">
        <v>116</v>
      </c>
      <c r="X176" s="42">
        <v>18</v>
      </c>
      <c r="Y176" s="42" t="s">
        <v>117</v>
      </c>
      <c r="Z176" s="42">
        <v>3401953.5082</v>
      </c>
      <c r="AA176" s="42">
        <v>0.82730000000000004</v>
      </c>
      <c r="AB176" s="42" t="s">
        <v>36</v>
      </c>
      <c r="AC176" s="42">
        <v>1</v>
      </c>
      <c r="AD176" s="42">
        <v>1</v>
      </c>
      <c r="AE176" s="42">
        <v>2814436.14</v>
      </c>
    </row>
    <row r="177" spans="1:31" x14ac:dyDescent="0.2">
      <c r="A177" s="42" t="s">
        <v>917</v>
      </c>
      <c r="B177" s="42">
        <v>1</v>
      </c>
      <c r="C177" s="42" t="s">
        <v>55</v>
      </c>
      <c r="D177" s="42">
        <v>68</v>
      </c>
      <c r="E177" s="42" t="s">
        <v>178</v>
      </c>
      <c r="F177" s="42" t="s">
        <v>561</v>
      </c>
      <c r="G177" s="42">
        <v>6762</v>
      </c>
      <c r="H177" s="42" t="s">
        <v>562</v>
      </c>
      <c r="I177" s="42">
        <v>1845467.93</v>
      </c>
      <c r="J177" s="42">
        <v>1845467.93</v>
      </c>
      <c r="K177" s="42" t="b">
        <v>0</v>
      </c>
      <c r="L177" s="42">
        <v>5</v>
      </c>
      <c r="M177" s="42" t="s">
        <v>108</v>
      </c>
      <c r="N177" s="42">
        <v>29</v>
      </c>
      <c r="O177" s="42" t="s">
        <v>142</v>
      </c>
      <c r="P177" s="42">
        <v>3</v>
      </c>
      <c r="Q177" s="42" t="s">
        <v>325</v>
      </c>
      <c r="R177" s="42" t="s">
        <v>114</v>
      </c>
      <c r="U177" s="42" t="s">
        <v>121</v>
      </c>
      <c r="V177" s="42">
        <v>1</v>
      </c>
      <c r="W177" s="42" t="s">
        <v>116</v>
      </c>
      <c r="X177" s="42">
        <v>18</v>
      </c>
      <c r="Y177" s="42" t="s">
        <v>117</v>
      </c>
      <c r="Z177" s="42">
        <v>1036197.6</v>
      </c>
      <c r="AA177" s="42">
        <v>1.7809999999999999</v>
      </c>
      <c r="AB177" s="42" t="s">
        <v>36</v>
      </c>
      <c r="AC177" s="42">
        <v>1</v>
      </c>
      <c r="AD177" s="42">
        <v>1</v>
      </c>
      <c r="AE177" s="42">
        <v>1845467.93</v>
      </c>
    </row>
    <row r="178" spans="1:31" x14ac:dyDescent="0.2">
      <c r="A178" s="42" t="s">
        <v>917</v>
      </c>
      <c r="B178" s="42">
        <v>1</v>
      </c>
      <c r="C178" s="42" t="s">
        <v>55</v>
      </c>
      <c r="D178" s="42">
        <v>68</v>
      </c>
      <c r="E178" s="42" t="s">
        <v>178</v>
      </c>
      <c r="F178" s="42" t="s">
        <v>601</v>
      </c>
      <c r="G178" s="42">
        <v>7040</v>
      </c>
      <c r="H178" s="42" t="s">
        <v>602</v>
      </c>
      <c r="I178" s="42">
        <v>2161031.63</v>
      </c>
      <c r="J178" s="42">
        <v>2161031.63</v>
      </c>
      <c r="K178" s="42" t="b">
        <v>0</v>
      </c>
      <c r="L178" s="42">
        <v>5</v>
      </c>
      <c r="M178" s="42" t="s">
        <v>108</v>
      </c>
      <c r="N178" s="42">
        <v>2</v>
      </c>
      <c r="O178" s="42" t="s">
        <v>122</v>
      </c>
      <c r="P178" s="42">
        <v>1</v>
      </c>
      <c r="Q178" s="42" t="s">
        <v>326</v>
      </c>
      <c r="R178" s="42" t="s">
        <v>114</v>
      </c>
      <c r="U178" s="42" t="s">
        <v>121</v>
      </c>
      <c r="V178" s="42">
        <v>1</v>
      </c>
      <c r="W178" s="42" t="s">
        <v>116</v>
      </c>
      <c r="X178" s="42">
        <v>18</v>
      </c>
      <c r="Y178" s="42" t="s">
        <v>117</v>
      </c>
      <c r="Z178" s="42">
        <v>933894.39500000002</v>
      </c>
      <c r="AA178" s="42">
        <v>2.3140000000000001</v>
      </c>
      <c r="AB178" s="42" t="s">
        <v>36</v>
      </c>
      <c r="AC178" s="42">
        <v>1</v>
      </c>
      <c r="AD178" s="42">
        <v>1</v>
      </c>
      <c r="AE178" s="42">
        <v>2161031.63</v>
      </c>
    </row>
    <row r="179" spans="1:31" x14ac:dyDescent="0.2">
      <c r="A179" s="42" t="s">
        <v>917</v>
      </c>
      <c r="B179" s="42">
        <v>1</v>
      </c>
      <c r="C179" s="42" t="s">
        <v>55</v>
      </c>
      <c r="D179" s="42">
        <v>68</v>
      </c>
      <c r="E179" s="42" t="s">
        <v>178</v>
      </c>
      <c r="F179" s="42" t="s">
        <v>579</v>
      </c>
      <c r="G179" s="42">
        <v>7067</v>
      </c>
      <c r="H179" s="42" t="s">
        <v>580</v>
      </c>
      <c r="I179" s="42">
        <v>2238528.35</v>
      </c>
      <c r="J179" s="42">
        <v>2238528.35</v>
      </c>
      <c r="K179" s="42" t="b">
        <v>0</v>
      </c>
      <c r="L179" s="42">
        <v>5</v>
      </c>
      <c r="M179" s="42" t="s">
        <v>108</v>
      </c>
      <c r="N179" s="42">
        <v>4</v>
      </c>
      <c r="O179" s="42" t="s">
        <v>109</v>
      </c>
      <c r="P179" s="42">
        <v>6</v>
      </c>
      <c r="Q179" s="42" t="s">
        <v>109</v>
      </c>
      <c r="R179" s="42" t="s">
        <v>114</v>
      </c>
      <c r="U179" s="42" t="s">
        <v>121</v>
      </c>
      <c r="V179" s="42">
        <v>1</v>
      </c>
      <c r="W179" s="42" t="s">
        <v>116</v>
      </c>
      <c r="X179" s="42">
        <v>18</v>
      </c>
      <c r="Y179" s="42" t="s">
        <v>117</v>
      </c>
      <c r="Z179" s="42">
        <v>643070.48400000005</v>
      </c>
      <c r="AA179" s="42">
        <v>3.4809999999999999</v>
      </c>
      <c r="AB179" s="42" t="s">
        <v>36</v>
      </c>
      <c r="AC179" s="42">
        <v>1</v>
      </c>
      <c r="AD179" s="42">
        <v>1</v>
      </c>
      <c r="AE179" s="42">
        <v>2238528.35</v>
      </c>
    </row>
    <row r="180" spans="1:31" x14ac:dyDescent="0.2">
      <c r="A180" s="42" t="s">
        <v>917</v>
      </c>
      <c r="B180" s="42">
        <v>1</v>
      </c>
      <c r="C180" s="42" t="s">
        <v>55</v>
      </c>
      <c r="D180" s="42">
        <v>68</v>
      </c>
      <c r="E180" s="42" t="s">
        <v>178</v>
      </c>
      <c r="F180" s="42" t="s">
        <v>515</v>
      </c>
      <c r="G180" s="42">
        <v>9234</v>
      </c>
      <c r="H180" s="42" t="s">
        <v>516</v>
      </c>
      <c r="I180" s="42">
        <v>2148335.4</v>
      </c>
      <c r="J180" s="42">
        <v>2154885.8199999998</v>
      </c>
      <c r="K180" s="42" t="b">
        <v>0</v>
      </c>
      <c r="L180" s="42">
        <v>5</v>
      </c>
      <c r="M180" s="42" t="s">
        <v>108</v>
      </c>
      <c r="N180" s="42">
        <v>2</v>
      </c>
      <c r="O180" s="42" t="s">
        <v>122</v>
      </c>
      <c r="P180" s="42">
        <v>1</v>
      </c>
      <c r="Q180" s="42" t="s">
        <v>326</v>
      </c>
      <c r="R180" s="42" t="s">
        <v>114</v>
      </c>
      <c r="U180" s="42" t="s">
        <v>121</v>
      </c>
      <c r="V180" s="42">
        <v>1</v>
      </c>
      <c r="W180" s="42" t="s">
        <v>116</v>
      </c>
      <c r="X180" s="42">
        <v>18</v>
      </c>
      <c r="Y180" s="42" t="s">
        <v>117</v>
      </c>
      <c r="Z180" s="42">
        <v>22887.550999999999</v>
      </c>
      <c r="AA180" s="42">
        <v>94.150999999999996</v>
      </c>
      <c r="AB180" s="42" t="s">
        <v>36</v>
      </c>
      <c r="AC180" s="42">
        <v>1</v>
      </c>
      <c r="AD180" s="42">
        <v>1</v>
      </c>
      <c r="AE180" s="42">
        <v>2154885.81</v>
      </c>
    </row>
    <row r="181" spans="1:31" x14ac:dyDescent="0.2">
      <c r="A181" s="42" t="s">
        <v>917</v>
      </c>
      <c r="B181" s="42">
        <v>1</v>
      </c>
      <c r="C181" s="42" t="s">
        <v>55</v>
      </c>
      <c r="D181" s="42">
        <v>68</v>
      </c>
      <c r="E181" s="42" t="s">
        <v>178</v>
      </c>
      <c r="F181" s="42" t="s">
        <v>283</v>
      </c>
      <c r="G181" s="42">
        <v>9237</v>
      </c>
      <c r="H181" s="42" t="s">
        <v>284</v>
      </c>
      <c r="I181" s="42">
        <v>3109252.54</v>
      </c>
      <c r="J181" s="42">
        <v>3109252.54</v>
      </c>
      <c r="K181" s="42" t="b">
        <v>0</v>
      </c>
      <c r="L181" s="42">
        <v>4</v>
      </c>
      <c r="M181" s="42" t="s">
        <v>128</v>
      </c>
      <c r="N181" s="42">
        <v>2</v>
      </c>
      <c r="O181" s="42" t="s">
        <v>122</v>
      </c>
      <c r="P181" s="42">
        <v>14</v>
      </c>
      <c r="Q181" s="42" t="s">
        <v>323</v>
      </c>
      <c r="R181" s="42" t="s">
        <v>114</v>
      </c>
      <c r="U181" s="42" t="s">
        <v>121</v>
      </c>
      <c r="V181" s="42">
        <v>1</v>
      </c>
      <c r="W181" s="42" t="s">
        <v>116</v>
      </c>
      <c r="X181" s="42">
        <v>18</v>
      </c>
      <c r="Y181" s="42" t="s">
        <v>117</v>
      </c>
      <c r="Z181" s="42">
        <v>3341126.7349999999</v>
      </c>
      <c r="AA181" s="42">
        <v>0.93059999999999998</v>
      </c>
      <c r="AB181" s="42" t="s">
        <v>36</v>
      </c>
      <c r="AC181" s="42">
        <v>1</v>
      </c>
      <c r="AD181" s="42">
        <v>1</v>
      </c>
      <c r="AE181" s="42">
        <v>3109252.54</v>
      </c>
    </row>
    <row r="182" spans="1:31" x14ac:dyDescent="0.2">
      <c r="A182" s="42" t="s">
        <v>917</v>
      </c>
      <c r="B182" s="42">
        <v>1</v>
      </c>
      <c r="C182" s="42" t="s">
        <v>55</v>
      </c>
      <c r="D182" s="42">
        <v>68</v>
      </c>
      <c r="E182" s="42" t="s">
        <v>178</v>
      </c>
      <c r="F182" s="42" t="s">
        <v>332</v>
      </c>
      <c r="G182" s="42">
        <v>10273</v>
      </c>
      <c r="H182" s="42" t="s">
        <v>333</v>
      </c>
      <c r="I182" s="42">
        <v>1235284.53</v>
      </c>
      <c r="J182" s="42">
        <v>1235284.53</v>
      </c>
      <c r="K182" s="42" t="b">
        <v>0</v>
      </c>
      <c r="L182" s="42">
        <v>4</v>
      </c>
      <c r="M182" s="42" t="s">
        <v>128</v>
      </c>
      <c r="N182" s="42">
        <v>1</v>
      </c>
      <c r="O182" s="42" t="s">
        <v>112</v>
      </c>
      <c r="P182" s="42">
        <v>31</v>
      </c>
      <c r="Q182" s="42" t="s">
        <v>330</v>
      </c>
      <c r="R182" s="42" t="s">
        <v>114</v>
      </c>
      <c r="U182" s="42" t="s">
        <v>121</v>
      </c>
      <c r="V182" s="42">
        <v>1</v>
      </c>
      <c r="W182" s="42" t="s">
        <v>116</v>
      </c>
      <c r="X182" s="42">
        <v>18</v>
      </c>
      <c r="Y182" s="42" t="s">
        <v>117</v>
      </c>
      <c r="Z182" s="42">
        <v>1152747.7860000001</v>
      </c>
      <c r="AA182" s="42">
        <v>1.0716000000000001</v>
      </c>
      <c r="AB182" s="42" t="s">
        <v>36</v>
      </c>
      <c r="AC182" s="42">
        <v>1</v>
      </c>
      <c r="AD182" s="42">
        <v>1</v>
      </c>
      <c r="AE182" s="42">
        <v>1235284.53</v>
      </c>
    </row>
    <row r="183" spans="1:31" x14ac:dyDescent="0.2">
      <c r="A183" s="42" t="s">
        <v>917</v>
      </c>
      <c r="B183" s="42">
        <v>1</v>
      </c>
      <c r="C183" s="42" t="s">
        <v>55</v>
      </c>
      <c r="D183" s="42">
        <v>68</v>
      </c>
      <c r="E183" s="42" t="s">
        <v>178</v>
      </c>
      <c r="F183" s="42" t="s">
        <v>385</v>
      </c>
      <c r="G183" s="42">
        <v>11492</v>
      </c>
      <c r="H183" s="42" t="s">
        <v>386</v>
      </c>
      <c r="I183" s="42">
        <v>1254713.79</v>
      </c>
      <c r="J183" s="42">
        <v>1254713.79</v>
      </c>
      <c r="K183" s="42" t="b">
        <v>0</v>
      </c>
      <c r="L183" s="42">
        <v>5</v>
      </c>
      <c r="M183" s="42" t="s">
        <v>108</v>
      </c>
      <c r="N183" s="42">
        <v>1</v>
      </c>
      <c r="O183" s="42" t="s">
        <v>112</v>
      </c>
      <c r="P183" s="42">
        <v>115</v>
      </c>
      <c r="Q183" s="42" t="s">
        <v>254</v>
      </c>
      <c r="R183" s="42" t="s">
        <v>114</v>
      </c>
      <c r="U183" s="42" t="s">
        <v>121</v>
      </c>
      <c r="V183" s="42">
        <v>1</v>
      </c>
      <c r="W183" s="42" t="s">
        <v>116</v>
      </c>
      <c r="X183" s="42">
        <v>18</v>
      </c>
      <c r="Y183" s="42" t="s">
        <v>117</v>
      </c>
      <c r="Z183" s="42">
        <v>875402.071</v>
      </c>
      <c r="AA183" s="42">
        <v>1.4333</v>
      </c>
      <c r="AB183" s="42" t="s">
        <v>36</v>
      </c>
      <c r="AC183" s="42">
        <v>1</v>
      </c>
      <c r="AD183" s="42">
        <v>1</v>
      </c>
      <c r="AE183" s="42">
        <v>1254713.79</v>
      </c>
    </row>
    <row r="184" spans="1:31" x14ac:dyDescent="0.2">
      <c r="A184" s="42" t="s">
        <v>917</v>
      </c>
      <c r="B184" s="42">
        <v>1</v>
      </c>
      <c r="C184" s="42" t="s">
        <v>55</v>
      </c>
      <c r="D184" s="42">
        <v>68</v>
      </c>
      <c r="E184" s="42" t="s">
        <v>178</v>
      </c>
      <c r="F184" s="42" t="s">
        <v>581</v>
      </c>
      <c r="G184" s="42">
        <v>11816</v>
      </c>
      <c r="H184" s="42" t="s">
        <v>582</v>
      </c>
      <c r="I184" s="42">
        <v>1274406.8999999999</v>
      </c>
      <c r="J184" s="42">
        <v>1274406.8999999999</v>
      </c>
      <c r="K184" s="42" t="b">
        <v>0</v>
      </c>
      <c r="L184" s="42">
        <v>5</v>
      </c>
      <c r="M184" s="42" t="s">
        <v>108</v>
      </c>
      <c r="N184" s="42">
        <v>1</v>
      </c>
      <c r="O184" s="42" t="s">
        <v>112</v>
      </c>
      <c r="P184" s="42">
        <v>115</v>
      </c>
      <c r="Q184" s="42" t="s">
        <v>254</v>
      </c>
      <c r="R184" s="42" t="s">
        <v>114</v>
      </c>
      <c r="U184" s="42" t="s">
        <v>121</v>
      </c>
      <c r="V184" s="42">
        <v>1</v>
      </c>
      <c r="W184" s="42" t="s">
        <v>116</v>
      </c>
      <c r="X184" s="42">
        <v>18</v>
      </c>
      <c r="Y184" s="42" t="s">
        <v>117</v>
      </c>
      <c r="Z184" s="42">
        <v>699454.94200000004</v>
      </c>
      <c r="AA184" s="42">
        <v>1.8220000000000001</v>
      </c>
      <c r="AB184" s="42" t="s">
        <v>36</v>
      </c>
      <c r="AC184" s="42">
        <v>1</v>
      </c>
      <c r="AD184" s="42">
        <v>1</v>
      </c>
      <c r="AE184" s="42">
        <v>1274406.8999999999</v>
      </c>
    </row>
    <row r="185" spans="1:31" x14ac:dyDescent="0.2">
      <c r="A185" s="42" t="s">
        <v>917</v>
      </c>
      <c r="B185" s="42">
        <v>1</v>
      </c>
      <c r="C185" s="42" t="s">
        <v>184</v>
      </c>
      <c r="D185" s="42">
        <v>169</v>
      </c>
      <c r="E185" s="42" t="s">
        <v>398</v>
      </c>
      <c r="F185" s="42" t="s">
        <v>126</v>
      </c>
      <c r="G185" s="42">
        <v>2534</v>
      </c>
      <c r="H185" s="42" t="s">
        <v>127</v>
      </c>
      <c r="I185" s="42">
        <v>314611.49</v>
      </c>
      <c r="J185" s="42">
        <v>314611.49</v>
      </c>
      <c r="K185" s="42" t="b">
        <v>0</v>
      </c>
      <c r="L185" s="42">
        <v>4</v>
      </c>
      <c r="M185" s="42" t="s">
        <v>128</v>
      </c>
      <c r="N185" s="42">
        <v>2</v>
      </c>
      <c r="O185" s="42" t="s">
        <v>122</v>
      </c>
      <c r="P185" s="42">
        <v>14</v>
      </c>
      <c r="Q185" s="42" t="s">
        <v>323</v>
      </c>
      <c r="R185" s="42" t="s">
        <v>114</v>
      </c>
      <c r="U185" s="42" t="s">
        <v>115</v>
      </c>
      <c r="V185" s="42">
        <v>1</v>
      </c>
      <c r="W185" s="42" t="s">
        <v>116</v>
      </c>
      <c r="X185" s="42">
        <v>18</v>
      </c>
      <c r="Y185" s="42" t="s">
        <v>117</v>
      </c>
      <c r="Z185" s="42">
        <v>2862.97</v>
      </c>
      <c r="AA185" s="42">
        <v>109.8899</v>
      </c>
      <c r="AB185" s="42" t="s">
        <v>36</v>
      </c>
      <c r="AC185" s="42">
        <v>1</v>
      </c>
      <c r="AD185" s="42">
        <v>1</v>
      </c>
      <c r="AE185" s="42">
        <v>314611.49</v>
      </c>
    </row>
    <row r="186" spans="1:31" x14ac:dyDescent="0.2">
      <c r="A186" s="42" t="s">
        <v>917</v>
      </c>
      <c r="B186" s="42">
        <v>1</v>
      </c>
      <c r="C186" s="42" t="s">
        <v>184</v>
      </c>
      <c r="D186" s="42">
        <v>169</v>
      </c>
      <c r="E186" s="42" t="s">
        <v>398</v>
      </c>
      <c r="F186" s="42" t="s">
        <v>603</v>
      </c>
      <c r="G186" s="42">
        <v>2662</v>
      </c>
      <c r="H186" s="42" t="s">
        <v>604</v>
      </c>
      <c r="I186" s="42">
        <v>254324.65</v>
      </c>
      <c r="J186" s="42">
        <v>254324.65</v>
      </c>
      <c r="K186" s="42" t="b">
        <v>0</v>
      </c>
      <c r="L186" s="42">
        <v>5</v>
      </c>
      <c r="M186" s="42" t="s">
        <v>108</v>
      </c>
      <c r="N186" s="42">
        <v>2</v>
      </c>
      <c r="O186" s="42" t="s">
        <v>122</v>
      </c>
      <c r="P186" s="42">
        <v>1</v>
      </c>
      <c r="Q186" s="42" t="s">
        <v>326</v>
      </c>
      <c r="R186" s="42" t="s">
        <v>114</v>
      </c>
      <c r="U186" s="42" t="s">
        <v>121</v>
      </c>
      <c r="V186" s="42">
        <v>1</v>
      </c>
      <c r="W186" s="42" t="s">
        <v>116</v>
      </c>
      <c r="X186" s="42">
        <v>13</v>
      </c>
      <c r="Y186" s="42" t="s">
        <v>166</v>
      </c>
      <c r="Z186" s="42">
        <v>47534.652000000002</v>
      </c>
      <c r="AA186" s="42">
        <v>5.3502999999999998</v>
      </c>
      <c r="AB186" s="42" t="s">
        <v>36</v>
      </c>
      <c r="AC186" s="42">
        <v>1</v>
      </c>
      <c r="AD186" s="42">
        <v>1</v>
      </c>
      <c r="AE186" s="42">
        <v>254324.65</v>
      </c>
    </row>
    <row r="187" spans="1:31" x14ac:dyDescent="0.2">
      <c r="A187" s="42" t="s">
        <v>917</v>
      </c>
      <c r="B187" s="42">
        <v>1</v>
      </c>
      <c r="C187" s="42" t="s">
        <v>184</v>
      </c>
      <c r="D187" s="42">
        <v>169</v>
      </c>
      <c r="E187" s="42" t="s">
        <v>398</v>
      </c>
      <c r="F187" s="42" t="s">
        <v>605</v>
      </c>
      <c r="G187" s="42">
        <v>2737</v>
      </c>
      <c r="H187" s="42" t="s">
        <v>606</v>
      </c>
      <c r="I187" s="42">
        <v>131518.76</v>
      </c>
      <c r="J187" s="42">
        <v>131518.76</v>
      </c>
      <c r="K187" s="42" t="b">
        <v>0</v>
      </c>
      <c r="L187" s="42">
        <v>5</v>
      </c>
      <c r="M187" s="42" t="s">
        <v>108</v>
      </c>
      <c r="N187" s="42">
        <v>27</v>
      </c>
      <c r="O187" s="42" t="s">
        <v>129</v>
      </c>
      <c r="P187" s="42">
        <v>10</v>
      </c>
      <c r="Q187" s="42" t="s">
        <v>129</v>
      </c>
      <c r="R187" s="42" t="s">
        <v>114</v>
      </c>
      <c r="U187" s="42" t="s">
        <v>121</v>
      </c>
      <c r="V187" s="42">
        <v>1</v>
      </c>
      <c r="W187" s="42" t="s">
        <v>116</v>
      </c>
      <c r="X187" s="42">
        <v>18</v>
      </c>
      <c r="Y187" s="42" t="s">
        <v>117</v>
      </c>
      <c r="Z187" s="42">
        <v>7139.9979999999996</v>
      </c>
      <c r="AA187" s="42">
        <v>18.420000000000002</v>
      </c>
      <c r="AB187" s="42" t="s">
        <v>36</v>
      </c>
      <c r="AC187" s="42">
        <v>1</v>
      </c>
      <c r="AD187" s="42">
        <v>1</v>
      </c>
      <c r="AE187" s="42">
        <v>131518.76</v>
      </c>
    </row>
    <row r="188" spans="1:31" x14ac:dyDescent="0.2">
      <c r="A188" s="42" t="s">
        <v>917</v>
      </c>
      <c r="B188" s="42">
        <v>1</v>
      </c>
      <c r="C188" s="42" t="s">
        <v>184</v>
      </c>
      <c r="D188" s="42">
        <v>169</v>
      </c>
      <c r="E188" s="42" t="s">
        <v>398</v>
      </c>
      <c r="F188" s="42" t="s">
        <v>134</v>
      </c>
      <c r="G188" s="42">
        <v>2865</v>
      </c>
      <c r="H188" s="42" t="s">
        <v>135</v>
      </c>
      <c r="I188" s="42">
        <v>364093.94</v>
      </c>
      <c r="J188" s="42">
        <v>364093.94</v>
      </c>
      <c r="K188" s="42" t="b">
        <v>0</v>
      </c>
      <c r="L188" s="42">
        <v>4</v>
      </c>
      <c r="M188" s="42" t="s">
        <v>128</v>
      </c>
      <c r="N188" s="42">
        <v>1</v>
      </c>
      <c r="O188" s="42" t="s">
        <v>112</v>
      </c>
      <c r="P188" s="42">
        <v>14</v>
      </c>
      <c r="Q188" s="42" t="s">
        <v>323</v>
      </c>
      <c r="R188" s="42" t="s">
        <v>114</v>
      </c>
      <c r="U188" s="42" t="s">
        <v>121</v>
      </c>
      <c r="V188" s="42">
        <v>1</v>
      </c>
      <c r="W188" s="42" t="s">
        <v>116</v>
      </c>
      <c r="X188" s="42">
        <v>18</v>
      </c>
      <c r="Y188" s="42" t="s">
        <v>117</v>
      </c>
      <c r="Z188" s="42">
        <v>643048.28899999999</v>
      </c>
      <c r="AA188" s="42">
        <v>0.56620000000000004</v>
      </c>
      <c r="AB188" s="42" t="s">
        <v>36</v>
      </c>
      <c r="AC188" s="42">
        <v>1</v>
      </c>
      <c r="AD188" s="42">
        <v>1</v>
      </c>
      <c r="AE188" s="42">
        <v>364093.94</v>
      </c>
    </row>
    <row r="189" spans="1:31" x14ac:dyDescent="0.2">
      <c r="A189" s="42" t="s">
        <v>917</v>
      </c>
      <c r="B189" s="42">
        <v>1</v>
      </c>
      <c r="C189" s="42" t="s">
        <v>184</v>
      </c>
      <c r="D189" s="42">
        <v>169</v>
      </c>
      <c r="E189" s="42" t="s">
        <v>398</v>
      </c>
      <c r="F189" s="42" t="s">
        <v>489</v>
      </c>
      <c r="G189" s="42">
        <v>3076</v>
      </c>
      <c r="H189" s="42" t="s">
        <v>490</v>
      </c>
      <c r="I189" s="42">
        <v>330662.02</v>
      </c>
      <c r="J189" s="42">
        <v>331605.94</v>
      </c>
      <c r="K189" s="42" t="b">
        <v>0</v>
      </c>
      <c r="L189" s="42">
        <v>4</v>
      </c>
      <c r="M189" s="42" t="s">
        <v>128</v>
      </c>
      <c r="N189" s="42">
        <v>1</v>
      </c>
      <c r="O189" s="42" t="s">
        <v>112</v>
      </c>
      <c r="P189" s="42">
        <v>14</v>
      </c>
      <c r="Q189" s="42" t="s">
        <v>323</v>
      </c>
      <c r="R189" s="42" t="s">
        <v>114</v>
      </c>
      <c r="U189" s="42" t="s">
        <v>121</v>
      </c>
      <c r="V189" s="42">
        <v>1</v>
      </c>
      <c r="W189" s="42" t="s">
        <v>116</v>
      </c>
      <c r="X189" s="42">
        <v>18</v>
      </c>
      <c r="Y189" s="42" t="s">
        <v>117</v>
      </c>
      <c r="Z189" s="42">
        <v>262201.26500000001</v>
      </c>
      <c r="AA189" s="42">
        <v>1.2646999999999999</v>
      </c>
      <c r="AB189" s="42" t="s">
        <v>36</v>
      </c>
      <c r="AC189" s="42">
        <v>1</v>
      </c>
      <c r="AD189" s="42">
        <v>1</v>
      </c>
      <c r="AE189" s="42">
        <v>331605.94</v>
      </c>
    </row>
    <row r="190" spans="1:31" x14ac:dyDescent="0.2">
      <c r="A190" s="42" t="s">
        <v>917</v>
      </c>
      <c r="B190" s="42">
        <v>1</v>
      </c>
      <c r="C190" s="42" t="s">
        <v>184</v>
      </c>
      <c r="D190" s="42">
        <v>169</v>
      </c>
      <c r="E190" s="42" t="s">
        <v>398</v>
      </c>
      <c r="F190" s="42" t="s">
        <v>270</v>
      </c>
      <c r="G190" s="42">
        <v>3993</v>
      </c>
      <c r="H190" s="42" t="s">
        <v>369</v>
      </c>
      <c r="I190" s="42">
        <v>131465.54</v>
      </c>
      <c r="J190" s="42">
        <v>131465.54</v>
      </c>
      <c r="K190" s="42" t="b">
        <v>0</v>
      </c>
      <c r="L190" s="42">
        <v>5</v>
      </c>
      <c r="M190" s="42" t="s">
        <v>108</v>
      </c>
      <c r="N190" s="42">
        <v>29</v>
      </c>
      <c r="O190" s="42" t="s">
        <v>142</v>
      </c>
      <c r="P190" s="42">
        <v>3</v>
      </c>
      <c r="Q190" s="42" t="s">
        <v>325</v>
      </c>
      <c r="R190" s="42" t="s">
        <v>114</v>
      </c>
      <c r="U190" s="42" t="s">
        <v>121</v>
      </c>
      <c r="V190" s="42">
        <v>1</v>
      </c>
      <c r="W190" s="42" t="s">
        <v>116</v>
      </c>
      <c r="X190" s="42">
        <v>18</v>
      </c>
      <c r="Y190" s="42" t="s">
        <v>117</v>
      </c>
      <c r="Z190" s="42">
        <v>18567.005000000001</v>
      </c>
      <c r="AA190" s="42">
        <v>7.0805999999999996</v>
      </c>
      <c r="AB190" s="42" t="s">
        <v>36</v>
      </c>
      <c r="AC190" s="42">
        <v>1</v>
      </c>
      <c r="AD190" s="42">
        <v>1</v>
      </c>
      <c r="AE190" s="42">
        <v>131465.54</v>
      </c>
    </row>
    <row r="191" spans="1:31" x14ac:dyDescent="0.2">
      <c r="A191" s="42" t="s">
        <v>917</v>
      </c>
      <c r="B191" s="42">
        <v>1</v>
      </c>
      <c r="C191" s="42" t="s">
        <v>184</v>
      </c>
      <c r="D191" s="42">
        <v>169</v>
      </c>
      <c r="E191" s="42" t="s">
        <v>398</v>
      </c>
      <c r="F191" s="42" t="s">
        <v>607</v>
      </c>
      <c r="G191" s="42">
        <v>6065</v>
      </c>
      <c r="H191" s="42" t="s">
        <v>608</v>
      </c>
      <c r="I191" s="42">
        <v>144354.60999999999</v>
      </c>
      <c r="J191" s="42">
        <v>144354.60999999999</v>
      </c>
      <c r="K191" s="42" t="b">
        <v>0</v>
      </c>
      <c r="L191" s="42">
        <v>5</v>
      </c>
      <c r="M191" s="42" t="s">
        <v>108</v>
      </c>
      <c r="N191" s="42">
        <v>29</v>
      </c>
      <c r="O191" s="42" t="s">
        <v>142</v>
      </c>
      <c r="P191" s="42">
        <v>3</v>
      </c>
      <c r="Q191" s="42" t="s">
        <v>325</v>
      </c>
      <c r="R191" s="42" t="s">
        <v>114</v>
      </c>
      <c r="U191" s="42" t="s">
        <v>121</v>
      </c>
      <c r="V191" s="42">
        <v>1</v>
      </c>
      <c r="W191" s="42" t="s">
        <v>116</v>
      </c>
      <c r="X191" s="42">
        <v>18</v>
      </c>
      <c r="Y191" s="42" t="s">
        <v>117</v>
      </c>
      <c r="Z191" s="42">
        <v>407.00200000000001</v>
      </c>
      <c r="AA191" s="42">
        <v>354.67790000000002</v>
      </c>
      <c r="AB191" s="42" t="s">
        <v>36</v>
      </c>
      <c r="AC191" s="42">
        <v>1</v>
      </c>
      <c r="AD191" s="42">
        <v>1</v>
      </c>
      <c r="AE191" s="42">
        <v>144354.60999999999</v>
      </c>
    </row>
    <row r="192" spans="1:31" x14ac:dyDescent="0.2">
      <c r="A192" s="42" t="s">
        <v>917</v>
      </c>
      <c r="B192" s="42">
        <v>1</v>
      </c>
      <c r="C192" s="42" t="s">
        <v>184</v>
      </c>
      <c r="D192" s="42">
        <v>169</v>
      </c>
      <c r="E192" s="42" t="s">
        <v>398</v>
      </c>
      <c r="F192" s="42" t="s">
        <v>609</v>
      </c>
      <c r="G192" s="42">
        <v>6391</v>
      </c>
      <c r="H192" s="42" t="s">
        <v>610</v>
      </c>
      <c r="I192" s="42">
        <v>424240.77</v>
      </c>
      <c r="J192" s="42">
        <v>424398.95</v>
      </c>
      <c r="K192" s="42" t="b">
        <v>1</v>
      </c>
      <c r="L192" s="42">
        <v>4</v>
      </c>
      <c r="M192" s="42" t="s">
        <v>128</v>
      </c>
      <c r="N192" s="42">
        <v>4</v>
      </c>
      <c r="O192" s="42" t="s">
        <v>109</v>
      </c>
      <c r="P192" s="42">
        <v>197</v>
      </c>
      <c r="Q192" s="42" t="s">
        <v>247</v>
      </c>
      <c r="R192" s="42" t="s">
        <v>204</v>
      </c>
      <c r="S192" s="42">
        <v>1</v>
      </c>
      <c r="T192" s="42" t="s">
        <v>205</v>
      </c>
      <c r="U192" s="42" t="s">
        <v>115</v>
      </c>
      <c r="V192" s="42">
        <v>1</v>
      </c>
      <c r="W192" s="42" t="s">
        <v>116</v>
      </c>
      <c r="X192" s="42">
        <v>22</v>
      </c>
      <c r="Y192" s="42" t="s">
        <v>217</v>
      </c>
      <c r="Z192" s="42">
        <v>90389</v>
      </c>
      <c r="AA192" s="42">
        <v>4.6952499999999997</v>
      </c>
      <c r="AB192" s="42" t="s">
        <v>36</v>
      </c>
      <c r="AC192" s="42">
        <v>1</v>
      </c>
      <c r="AD192" s="42">
        <v>1</v>
      </c>
      <c r="AE192" s="42">
        <v>424398.95</v>
      </c>
    </row>
    <row r="193" spans="1:31" x14ac:dyDescent="0.2">
      <c r="A193" s="42" t="s">
        <v>917</v>
      </c>
      <c r="B193" s="42">
        <v>1</v>
      </c>
      <c r="C193" s="42" t="s">
        <v>184</v>
      </c>
      <c r="D193" s="42">
        <v>169</v>
      </c>
      <c r="E193" s="42" t="s">
        <v>398</v>
      </c>
      <c r="F193" s="42" t="s">
        <v>273</v>
      </c>
      <c r="G193" s="42">
        <v>6407</v>
      </c>
      <c r="H193" s="42" t="s">
        <v>282</v>
      </c>
      <c r="I193" s="42">
        <v>130739.36</v>
      </c>
      <c r="J193" s="42">
        <v>130739.36</v>
      </c>
      <c r="K193" s="42" t="b">
        <v>0</v>
      </c>
      <c r="L193" s="42">
        <v>4</v>
      </c>
      <c r="M193" s="42" t="s">
        <v>128</v>
      </c>
      <c r="N193" s="42">
        <v>2</v>
      </c>
      <c r="O193" s="42" t="s">
        <v>122</v>
      </c>
      <c r="P193" s="42">
        <v>72</v>
      </c>
      <c r="Q193" s="42" t="s">
        <v>245</v>
      </c>
      <c r="R193" s="42" t="s">
        <v>114</v>
      </c>
      <c r="U193" s="42" t="s">
        <v>115</v>
      </c>
      <c r="V193" s="42">
        <v>1</v>
      </c>
      <c r="W193" s="42" t="s">
        <v>116</v>
      </c>
      <c r="X193" s="42">
        <v>18</v>
      </c>
      <c r="Y193" s="42" t="s">
        <v>117</v>
      </c>
      <c r="Z193" s="42">
        <v>991.49</v>
      </c>
      <c r="AA193" s="42">
        <v>131.86150000000001</v>
      </c>
      <c r="AB193" s="42" t="s">
        <v>36</v>
      </c>
      <c r="AC193" s="42">
        <v>1</v>
      </c>
      <c r="AD193" s="42">
        <v>1</v>
      </c>
      <c r="AE193" s="42">
        <v>130739.36</v>
      </c>
    </row>
    <row r="194" spans="1:31" x14ac:dyDescent="0.2">
      <c r="A194" s="42" t="s">
        <v>917</v>
      </c>
      <c r="B194" s="42">
        <v>1</v>
      </c>
      <c r="C194" s="42" t="s">
        <v>184</v>
      </c>
      <c r="D194" s="42">
        <v>169</v>
      </c>
      <c r="E194" s="42" t="s">
        <v>398</v>
      </c>
      <c r="F194" s="42" t="s">
        <v>611</v>
      </c>
      <c r="G194" s="42">
        <v>8537</v>
      </c>
      <c r="H194" s="42" t="s">
        <v>612</v>
      </c>
      <c r="I194" s="42">
        <v>272832.71999999997</v>
      </c>
      <c r="J194" s="42">
        <v>272832.71999999997</v>
      </c>
      <c r="K194" s="42" t="b">
        <v>0</v>
      </c>
      <c r="L194" s="42">
        <v>4</v>
      </c>
      <c r="M194" s="42" t="s">
        <v>128</v>
      </c>
      <c r="N194" s="42">
        <v>1</v>
      </c>
      <c r="O194" s="42" t="s">
        <v>112</v>
      </c>
      <c r="P194" s="42">
        <v>14</v>
      </c>
      <c r="Q194" s="42" t="s">
        <v>323</v>
      </c>
      <c r="R194" s="42" t="s">
        <v>114</v>
      </c>
      <c r="U194" s="42" t="s">
        <v>121</v>
      </c>
      <c r="V194" s="42">
        <v>1</v>
      </c>
      <c r="W194" s="42" t="s">
        <v>116</v>
      </c>
      <c r="X194" s="42">
        <v>18</v>
      </c>
      <c r="Y194" s="42" t="s">
        <v>117</v>
      </c>
      <c r="Z194" s="42">
        <v>201204.073</v>
      </c>
      <c r="AA194" s="42">
        <v>1.3560000000000001</v>
      </c>
      <c r="AB194" s="42" t="s">
        <v>36</v>
      </c>
      <c r="AC194" s="42">
        <v>1</v>
      </c>
      <c r="AD194" s="42">
        <v>1</v>
      </c>
      <c r="AE194" s="42">
        <v>272832.71999999997</v>
      </c>
    </row>
    <row r="195" spans="1:31" x14ac:dyDescent="0.2">
      <c r="A195" s="42" t="s">
        <v>917</v>
      </c>
      <c r="B195" s="42">
        <v>1</v>
      </c>
      <c r="C195" s="42" t="s">
        <v>184</v>
      </c>
      <c r="D195" s="42">
        <v>169</v>
      </c>
      <c r="E195" s="42" t="s">
        <v>398</v>
      </c>
      <c r="F195" s="42" t="s">
        <v>613</v>
      </c>
      <c r="G195" s="42">
        <v>8577</v>
      </c>
      <c r="H195" s="42" t="s">
        <v>614</v>
      </c>
      <c r="I195" s="42">
        <v>233721.84</v>
      </c>
      <c r="J195" s="42">
        <v>233721.84</v>
      </c>
      <c r="K195" s="42" t="b">
        <v>0</v>
      </c>
      <c r="L195" s="42">
        <v>4</v>
      </c>
      <c r="M195" s="42" t="s">
        <v>128</v>
      </c>
      <c r="N195" s="42">
        <v>1</v>
      </c>
      <c r="O195" s="42" t="s">
        <v>112</v>
      </c>
      <c r="P195" s="42">
        <v>81</v>
      </c>
      <c r="Q195" s="42" t="s">
        <v>250</v>
      </c>
      <c r="R195" s="42" t="s">
        <v>114</v>
      </c>
      <c r="U195" s="42" t="s">
        <v>121</v>
      </c>
      <c r="V195" s="42">
        <v>1</v>
      </c>
      <c r="W195" s="42" t="s">
        <v>116</v>
      </c>
      <c r="X195" s="42">
        <v>18</v>
      </c>
      <c r="Y195" s="42" t="s">
        <v>117</v>
      </c>
      <c r="Z195" s="42">
        <v>97750.667000000001</v>
      </c>
      <c r="AA195" s="42">
        <v>2.391</v>
      </c>
      <c r="AB195" s="42" t="s">
        <v>36</v>
      </c>
      <c r="AC195" s="42">
        <v>1</v>
      </c>
      <c r="AD195" s="42">
        <v>1</v>
      </c>
      <c r="AE195" s="42">
        <v>233721.84</v>
      </c>
    </row>
    <row r="196" spans="1:31" x14ac:dyDescent="0.2">
      <c r="A196" s="42" t="s">
        <v>917</v>
      </c>
      <c r="B196" s="42">
        <v>1</v>
      </c>
      <c r="C196" s="42" t="s">
        <v>184</v>
      </c>
      <c r="D196" s="42">
        <v>169</v>
      </c>
      <c r="E196" s="42" t="s">
        <v>398</v>
      </c>
      <c r="F196" s="42" t="s">
        <v>615</v>
      </c>
      <c r="G196" s="42">
        <v>8826</v>
      </c>
      <c r="H196" s="42" t="s">
        <v>616</v>
      </c>
      <c r="I196" s="42">
        <v>421778.95</v>
      </c>
      <c r="J196" s="42">
        <v>421778.95</v>
      </c>
      <c r="K196" s="42" t="b">
        <v>0</v>
      </c>
      <c r="L196" s="42">
        <v>4</v>
      </c>
      <c r="M196" s="42" t="s">
        <v>128</v>
      </c>
      <c r="N196" s="42">
        <v>1</v>
      </c>
      <c r="O196" s="42" t="s">
        <v>112</v>
      </c>
      <c r="P196" s="42">
        <v>37</v>
      </c>
      <c r="Q196" s="42" t="s">
        <v>321</v>
      </c>
      <c r="R196" s="42" t="s">
        <v>114</v>
      </c>
      <c r="U196" s="42" t="s">
        <v>121</v>
      </c>
      <c r="V196" s="42">
        <v>1</v>
      </c>
      <c r="W196" s="42" t="s">
        <v>116</v>
      </c>
      <c r="X196" s="42">
        <v>18</v>
      </c>
      <c r="Y196" s="42" t="s">
        <v>117</v>
      </c>
      <c r="Z196" s="42">
        <v>618716.36800000002</v>
      </c>
      <c r="AA196" s="42">
        <v>0.68169999999999997</v>
      </c>
      <c r="AB196" s="42" t="s">
        <v>36</v>
      </c>
      <c r="AC196" s="42">
        <v>1</v>
      </c>
      <c r="AD196" s="42">
        <v>1</v>
      </c>
      <c r="AE196" s="42">
        <v>421778.95</v>
      </c>
    </row>
    <row r="197" spans="1:31" x14ac:dyDescent="0.2">
      <c r="A197" s="42" t="s">
        <v>917</v>
      </c>
      <c r="B197" s="42">
        <v>1</v>
      </c>
      <c r="C197" s="42" t="s">
        <v>184</v>
      </c>
      <c r="D197" s="42">
        <v>169</v>
      </c>
      <c r="E197" s="42" t="s">
        <v>398</v>
      </c>
      <c r="F197" s="42" t="s">
        <v>277</v>
      </c>
      <c r="G197" s="42">
        <v>9238</v>
      </c>
      <c r="H197" s="42" t="s">
        <v>278</v>
      </c>
      <c r="I197" s="42">
        <v>191289.27</v>
      </c>
      <c r="J197" s="42">
        <v>191289.27</v>
      </c>
      <c r="K197" s="42" t="b">
        <v>0</v>
      </c>
      <c r="L197" s="42">
        <v>5</v>
      </c>
      <c r="M197" s="42" t="s">
        <v>108</v>
      </c>
      <c r="N197" s="42">
        <v>1</v>
      </c>
      <c r="O197" s="42" t="s">
        <v>112</v>
      </c>
      <c r="P197" s="42">
        <v>115</v>
      </c>
      <c r="Q197" s="42" t="s">
        <v>254</v>
      </c>
      <c r="R197" s="42" t="s">
        <v>114</v>
      </c>
      <c r="U197" s="42" t="s">
        <v>121</v>
      </c>
      <c r="V197" s="42">
        <v>1</v>
      </c>
      <c r="W197" s="42" t="s">
        <v>116</v>
      </c>
      <c r="X197" s="42">
        <v>18</v>
      </c>
      <c r="Y197" s="42" t="s">
        <v>117</v>
      </c>
      <c r="Z197" s="42">
        <v>242046.39499999999</v>
      </c>
      <c r="AA197" s="42">
        <v>0.7903</v>
      </c>
      <c r="AB197" s="42" t="s">
        <v>36</v>
      </c>
      <c r="AC197" s="42">
        <v>1</v>
      </c>
      <c r="AD197" s="42">
        <v>1</v>
      </c>
      <c r="AE197" s="42">
        <v>191289.27</v>
      </c>
    </row>
    <row r="198" spans="1:31" x14ac:dyDescent="0.2">
      <c r="A198" s="42" t="s">
        <v>917</v>
      </c>
      <c r="B198" s="42">
        <v>1</v>
      </c>
      <c r="C198" s="42" t="s">
        <v>184</v>
      </c>
      <c r="D198" s="42">
        <v>169</v>
      </c>
      <c r="E198" s="42" t="s">
        <v>398</v>
      </c>
      <c r="F198" s="42" t="s">
        <v>617</v>
      </c>
      <c r="G198" s="42">
        <v>9385</v>
      </c>
      <c r="H198" s="42" t="s">
        <v>618</v>
      </c>
      <c r="I198" s="42">
        <v>92690</v>
      </c>
      <c r="J198" s="42">
        <v>92805</v>
      </c>
      <c r="K198" s="42" t="b">
        <v>1</v>
      </c>
      <c r="L198" s="42">
        <v>3</v>
      </c>
      <c r="M198" s="42" t="s">
        <v>209</v>
      </c>
      <c r="N198" s="42">
        <v>2</v>
      </c>
      <c r="O198" s="42" t="s">
        <v>122</v>
      </c>
      <c r="P198" s="42">
        <v>22</v>
      </c>
      <c r="Q198" s="42" t="s">
        <v>209</v>
      </c>
      <c r="R198" s="42" t="s">
        <v>204</v>
      </c>
      <c r="S198" s="42">
        <v>1</v>
      </c>
      <c r="T198" s="42" t="s">
        <v>205</v>
      </c>
      <c r="U198" s="42" t="s">
        <v>121</v>
      </c>
      <c r="V198" s="42">
        <v>9</v>
      </c>
      <c r="W198" s="42" t="s">
        <v>206</v>
      </c>
      <c r="X198" s="42">
        <v>25</v>
      </c>
      <c r="Y198" s="42" t="s">
        <v>227</v>
      </c>
      <c r="Z198" s="42">
        <v>115000</v>
      </c>
      <c r="AA198" s="42">
        <v>0.80700000000000005</v>
      </c>
      <c r="AB198" s="42" t="s">
        <v>36</v>
      </c>
      <c r="AC198" s="42">
        <v>1</v>
      </c>
      <c r="AD198" s="42">
        <v>1</v>
      </c>
      <c r="AE198" s="42">
        <v>92805</v>
      </c>
    </row>
    <row r="199" spans="1:31" x14ac:dyDescent="0.2">
      <c r="A199" s="42" t="s">
        <v>917</v>
      </c>
      <c r="B199" s="42">
        <v>1</v>
      </c>
      <c r="C199" s="42" t="s">
        <v>184</v>
      </c>
      <c r="D199" s="42">
        <v>169</v>
      </c>
      <c r="E199" s="42" t="s">
        <v>398</v>
      </c>
      <c r="F199" s="42" t="s">
        <v>619</v>
      </c>
      <c r="G199" s="42">
        <v>9453</v>
      </c>
      <c r="H199" s="42" t="s">
        <v>620</v>
      </c>
      <c r="I199" s="42">
        <v>155585.95000000001</v>
      </c>
      <c r="J199" s="42">
        <v>155823.85</v>
      </c>
      <c r="K199" s="42" t="b">
        <v>1</v>
      </c>
      <c r="L199" s="42">
        <v>5</v>
      </c>
      <c r="M199" s="42" t="s">
        <v>108</v>
      </c>
      <c r="N199" s="42">
        <v>1</v>
      </c>
      <c r="O199" s="42" t="s">
        <v>112</v>
      </c>
      <c r="P199" s="42">
        <v>51</v>
      </c>
      <c r="Q199" s="42" t="s">
        <v>112</v>
      </c>
      <c r="R199" s="42" t="s">
        <v>114</v>
      </c>
      <c r="U199" s="42" t="s">
        <v>115</v>
      </c>
      <c r="V199" s="42">
        <v>1</v>
      </c>
      <c r="W199" s="42" t="s">
        <v>116</v>
      </c>
      <c r="X199" s="42">
        <v>22</v>
      </c>
      <c r="Y199" s="42" t="s">
        <v>217</v>
      </c>
      <c r="Z199" s="42">
        <v>25042</v>
      </c>
      <c r="AA199" s="42">
        <v>6.2225000000000001</v>
      </c>
      <c r="AB199" s="42" t="s">
        <v>36</v>
      </c>
      <c r="AC199" s="42">
        <v>1</v>
      </c>
      <c r="AD199" s="42">
        <v>1</v>
      </c>
      <c r="AE199" s="42">
        <v>155823.85</v>
      </c>
    </row>
    <row r="200" spans="1:31" x14ac:dyDescent="0.2">
      <c r="A200" s="42" t="s">
        <v>917</v>
      </c>
      <c r="B200" s="42">
        <v>1</v>
      </c>
      <c r="C200" s="42" t="s">
        <v>184</v>
      </c>
      <c r="D200" s="42">
        <v>169</v>
      </c>
      <c r="E200" s="42" t="s">
        <v>398</v>
      </c>
      <c r="F200" s="42" t="s">
        <v>362</v>
      </c>
      <c r="G200" s="42">
        <v>10019</v>
      </c>
      <c r="H200" s="42" t="s">
        <v>363</v>
      </c>
      <c r="I200" s="42">
        <v>273531.83</v>
      </c>
      <c r="J200" s="42">
        <v>273551.49</v>
      </c>
      <c r="K200" s="42" t="b">
        <v>1</v>
      </c>
      <c r="L200" s="42">
        <v>5</v>
      </c>
      <c r="M200" s="42" t="s">
        <v>108</v>
      </c>
      <c r="N200" s="42">
        <v>4</v>
      </c>
      <c r="O200" s="42" t="s">
        <v>109</v>
      </c>
      <c r="P200" s="42">
        <v>6</v>
      </c>
      <c r="Q200" s="42" t="s">
        <v>109</v>
      </c>
      <c r="R200" s="42" t="s">
        <v>243</v>
      </c>
      <c r="S200" s="42">
        <v>1</v>
      </c>
      <c r="T200" s="42" t="s">
        <v>205</v>
      </c>
      <c r="U200" s="42" t="s">
        <v>115</v>
      </c>
      <c r="V200" s="42">
        <v>1</v>
      </c>
      <c r="W200" s="42" t="s">
        <v>116</v>
      </c>
      <c r="X200" s="42">
        <v>22</v>
      </c>
      <c r="Y200" s="42" t="s">
        <v>217</v>
      </c>
      <c r="Z200" s="42">
        <v>4513</v>
      </c>
      <c r="AA200" s="42">
        <v>69.584999999999994</v>
      </c>
      <c r="AB200" s="42" t="s">
        <v>34</v>
      </c>
      <c r="AC200" s="42">
        <v>1.1479999999999999</v>
      </c>
      <c r="AD200" s="42">
        <v>1</v>
      </c>
      <c r="AE200" s="42">
        <v>273551.49</v>
      </c>
    </row>
    <row r="201" spans="1:31" x14ac:dyDescent="0.2">
      <c r="A201" s="42" t="s">
        <v>917</v>
      </c>
      <c r="B201" s="42">
        <v>1</v>
      </c>
      <c r="C201" s="42" t="s">
        <v>184</v>
      </c>
      <c r="D201" s="42">
        <v>169</v>
      </c>
      <c r="E201" s="42" t="s">
        <v>398</v>
      </c>
      <c r="F201" s="42" t="s">
        <v>344</v>
      </c>
      <c r="G201" s="42">
        <v>10176</v>
      </c>
      <c r="H201" s="42" t="s">
        <v>345</v>
      </c>
      <c r="I201" s="42">
        <v>281148.67</v>
      </c>
      <c r="J201" s="42">
        <v>281148.67</v>
      </c>
      <c r="K201" s="42" t="b">
        <v>0</v>
      </c>
      <c r="L201" s="42">
        <v>5</v>
      </c>
      <c r="M201" s="42" t="s">
        <v>108</v>
      </c>
      <c r="N201" s="42">
        <v>2</v>
      </c>
      <c r="O201" s="42" t="s">
        <v>122</v>
      </c>
      <c r="P201" s="42">
        <v>2</v>
      </c>
      <c r="Q201" s="42" t="s">
        <v>322</v>
      </c>
      <c r="R201" s="42" t="s">
        <v>114</v>
      </c>
      <c r="U201" s="42" t="s">
        <v>121</v>
      </c>
      <c r="V201" s="42">
        <v>1</v>
      </c>
      <c r="W201" s="42" t="s">
        <v>116</v>
      </c>
      <c r="X201" s="42">
        <v>18</v>
      </c>
      <c r="Y201" s="42" t="s">
        <v>117</v>
      </c>
      <c r="Z201" s="42">
        <v>244540.9</v>
      </c>
      <c r="AA201" s="42">
        <v>1.1496999999999999</v>
      </c>
      <c r="AB201" s="42" t="s">
        <v>36</v>
      </c>
      <c r="AC201" s="42">
        <v>1</v>
      </c>
      <c r="AD201" s="42">
        <v>1</v>
      </c>
      <c r="AE201" s="42">
        <v>281148.67</v>
      </c>
    </row>
    <row r="202" spans="1:31" x14ac:dyDescent="0.2">
      <c r="A202" s="42" t="s">
        <v>917</v>
      </c>
      <c r="B202" s="42">
        <v>1</v>
      </c>
      <c r="C202" s="42" t="s">
        <v>184</v>
      </c>
      <c r="D202" s="42">
        <v>169</v>
      </c>
      <c r="E202" s="42" t="s">
        <v>398</v>
      </c>
      <c r="F202" s="42" t="s">
        <v>332</v>
      </c>
      <c r="G202" s="42">
        <v>10273</v>
      </c>
      <c r="H202" s="42" t="s">
        <v>333</v>
      </c>
      <c r="I202" s="42">
        <v>285037.2</v>
      </c>
      <c r="J202" s="42">
        <v>285037.2</v>
      </c>
      <c r="K202" s="42" t="b">
        <v>0</v>
      </c>
      <c r="L202" s="42">
        <v>4</v>
      </c>
      <c r="M202" s="42" t="s">
        <v>128</v>
      </c>
      <c r="N202" s="42">
        <v>1</v>
      </c>
      <c r="O202" s="42" t="s">
        <v>112</v>
      </c>
      <c r="P202" s="42">
        <v>31</v>
      </c>
      <c r="Q202" s="42" t="s">
        <v>330</v>
      </c>
      <c r="R202" s="42" t="s">
        <v>114</v>
      </c>
      <c r="U202" s="42" t="s">
        <v>121</v>
      </c>
      <c r="V202" s="42">
        <v>1</v>
      </c>
      <c r="W202" s="42" t="s">
        <v>116</v>
      </c>
      <c r="X202" s="42">
        <v>18</v>
      </c>
      <c r="Y202" s="42" t="s">
        <v>117</v>
      </c>
      <c r="Z202" s="42">
        <v>265992.163</v>
      </c>
      <c r="AA202" s="42">
        <v>1.0716000000000001</v>
      </c>
      <c r="AB202" s="42" t="s">
        <v>36</v>
      </c>
      <c r="AC202" s="42">
        <v>1</v>
      </c>
      <c r="AD202" s="42">
        <v>1</v>
      </c>
      <c r="AE202" s="42">
        <v>285037.2</v>
      </c>
    </row>
    <row r="203" spans="1:31" x14ac:dyDescent="0.2">
      <c r="A203" s="42" t="s">
        <v>917</v>
      </c>
      <c r="B203" s="42">
        <v>1</v>
      </c>
      <c r="C203" s="42" t="s">
        <v>185</v>
      </c>
      <c r="D203" s="42">
        <v>171</v>
      </c>
      <c r="E203" s="42" t="s">
        <v>397</v>
      </c>
      <c r="F203" s="42" t="s">
        <v>517</v>
      </c>
      <c r="G203" s="42">
        <v>2522</v>
      </c>
      <c r="H203" s="42" t="s">
        <v>518</v>
      </c>
      <c r="I203" s="42">
        <v>2082142.11</v>
      </c>
      <c r="J203" s="42">
        <v>2082142.11</v>
      </c>
      <c r="K203" s="42" t="b">
        <v>0</v>
      </c>
      <c r="L203" s="42">
        <v>5</v>
      </c>
      <c r="M203" s="42" t="s">
        <v>108</v>
      </c>
      <c r="N203" s="42">
        <v>28</v>
      </c>
      <c r="O203" s="42" t="s">
        <v>120</v>
      </c>
      <c r="P203" s="42">
        <v>9</v>
      </c>
      <c r="Q203" s="42" t="s">
        <v>320</v>
      </c>
      <c r="R203" s="42" t="s">
        <v>114</v>
      </c>
      <c r="U203" s="42" t="s">
        <v>121</v>
      </c>
      <c r="V203" s="42">
        <v>1</v>
      </c>
      <c r="W203" s="42" t="s">
        <v>116</v>
      </c>
      <c r="X203" s="42">
        <v>18</v>
      </c>
      <c r="Y203" s="42" t="s">
        <v>117</v>
      </c>
      <c r="Z203" s="42">
        <v>215922.65</v>
      </c>
      <c r="AA203" s="42">
        <v>9.6430000000000007</v>
      </c>
      <c r="AB203" s="42" t="s">
        <v>36</v>
      </c>
      <c r="AC203" s="42">
        <v>1</v>
      </c>
      <c r="AD203" s="42">
        <v>1</v>
      </c>
      <c r="AE203" s="42">
        <v>2082142.11</v>
      </c>
    </row>
    <row r="204" spans="1:31" x14ac:dyDescent="0.2">
      <c r="A204" s="42" t="s">
        <v>917</v>
      </c>
      <c r="B204" s="42">
        <v>1</v>
      </c>
      <c r="C204" s="42" t="s">
        <v>185</v>
      </c>
      <c r="D204" s="42">
        <v>171</v>
      </c>
      <c r="E204" s="42" t="s">
        <v>397</v>
      </c>
      <c r="F204" s="42" t="s">
        <v>603</v>
      </c>
      <c r="G204" s="42">
        <v>2662</v>
      </c>
      <c r="H204" s="42" t="s">
        <v>604</v>
      </c>
      <c r="I204" s="42">
        <v>1436575.88</v>
      </c>
      <c r="J204" s="42">
        <v>1436575.88</v>
      </c>
      <c r="K204" s="42" t="b">
        <v>0</v>
      </c>
      <c r="L204" s="42">
        <v>5</v>
      </c>
      <c r="M204" s="42" t="s">
        <v>108</v>
      </c>
      <c r="N204" s="42">
        <v>2</v>
      </c>
      <c r="O204" s="42" t="s">
        <v>122</v>
      </c>
      <c r="P204" s="42">
        <v>1</v>
      </c>
      <c r="Q204" s="42" t="s">
        <v>326</v>
      </c>
      <c r="R204" s="42" t="s">
        <v>114</v>
      </c>
      <c r="U204" s="42" t="s">
        <v>121</v>
      </c>
      <c r="V204" s="42">
        <v>1</v>
      </c>
      <c r="W204" s="42" t="s">
        <v>116</v>
      </c>
      <c r="X204" s="42">
        <v>13</v>
      </c>
      <c r="Y204" s="42" t="s">
        <v>166</v>
      </c>
      <c r="Z204" s="42">
        <v>268503.8</v>
      </c>
      <c r="AA204" s="42">
        <v>5.3502999999999998</v>
      </c>
      <c r="AB204" s="42" t="s">
        <v>36</v>
      </c>
      <c r="AC204" s="42">
        <v>1</v>
      </c>
      <c r="AD204" s="42">
        <v>1</v>
      </c>
      <c r="AE204" s="42">
        <v>1436575.88</v>
      </c>
    </row>
    <row r="205" spans="1:31" x14ac:dyDescent="0.2">
      <c r="A205" s="42" t="s">
        <v>917</v>
      </c>
      <c r="B205" s="42">
        <v>1</v>
      </c>
      <c r="C205" s="42" t="s">
        <v>185</v>
      </c>
      <c r="D205" s="42">
        <v>171</v>
      </c>
      <c r="E205" s="42" t="s">
        <v>397</v>
      </c>
      <c r="F205" s="42" t="s">
        <v>605</v>
      </c>
      <c r="G205" s="42">
        <v>2737</v>
      </c>
      <c r="H205" s="42" t="s">
        <v>606</v>
      </c>
      <c r="I205" s="42">
        <v>1073711.58</v>
      </c>
      <c r="J205" s="42">
        <v>1073711.58</v>
      </c>
      <c r="K205" s="42" t="b">
        <v>0</v>
      </c>
      <c r="L205" s="42">
        <v>5</v>
      </c>
      <c r="M205" s="42" t="s">
        <v>108</v>
      </c>
      <c r="N205" s="42">
        <v>27</v>
      </c>
      <c r="O205" s="42" t="s">
        <v>129</v>
      </c>
      <c r="P205" s="42">
        <v>10</v>
      </c>
      <c r="Q205" s="42" t="s">
        <v>129</v>
      </c>
      <c r="R205" s="42" t="s">
        <v>114</v>
      </c>
      <c r="U205" s="42" t="s">
        <v>121</v>
      </c>
      <c r="V205" s="42">
        <v>1</v>
      </c>
      <c r="W205" s="42" t="s">
        <v>116</v>
      </c>
      <c r="X205" s="42">
        <v>18</v>
      </c>
      <c r="Y205" s="42" t="s">
        <v>117</v>
      </c>
      <c r="Z205" s="42">
        <v>58290.531000000003</v>
      </c>
      <c r="AA205" s="42">
        <v>18.420000000000002</v>
      </c>
      <c r="AB205" s="42" t="s">
        <v>36</v>
      </c>
      <c r="AC205" s="42">
        <v>1</v>
      </c>
      <c r="AD205" s="42">
        <v>1</v>
      </c>
      <c r="AE205" s="42">
        <v>1073711.58</v>
      </c>
    </row>
    <row r="206" spans="1:31" x14ac:dyDescent="0.2">
      <c r="A206" s="42" t="s">
        <v>917</v>
      </c>
      <c r="B206" s="42">
        <v>1</v>
      </c>
      <c r="C206" s="42" t="s">
        <v>185</v>
      </c>
      <c r="D206" s="42">
        <v>171</v>
      </c>
      <c r="E206" s="42" t="s">
        <v>397</v>
      </c>
      <c r="F206" s="42" t="s">
        <v>195</v>
      </c>
      <c r="G206" s="42">
        <v>2859</v>
      </c>
      <c r="H206" s="42" t="s">
        <v>280</v>
      </c>
      <c r="I206" s="42">
        <v>2415761.2999999998</v>
      </c>
      <c r="J206" s="42">
        <v>2415761.2999999998</v>
      </c>
      <c r="K206" s="42" t="b">
        <v>0</v>
      </c>
      <c r="L206" s="42">
        <v>5</v>
      </c>
      <c r="M206" s="42" t="s">
        <v>108</v>
      </c>
      <c r="N206" s="42">
        <v>2</v>
      </c>
      <c r="O206" s="42" t="s">
        <v>122</v>
      </c>
      <c r="P206" s="42">
        <v>1</v>
      </c>
      <c r="Q206" s="42" t="s">
        <v>326</v>
      </c>
      <c r="R206" s="42" t="s">
        <v>114</v>
      </c>
      <c r="U206" s="42" t="s">
        <v>121</v>
      </c>
      <c r="V206" s="42">
        <v>1</v>
      </c>
      <c r="W206" s="42" t="s">
        <v>116</v>
      </c>
      <c r="X206" s="42">
        <v>18</v>
      </c>
      <c r="Y206" s="42" t="s">
        <v>117</v>
      </c>
      <c r="Z206" s="42">
        <v>882534.35800000001</v>
      </c>
      <c r="AA206" s="42">
        <v>2.7372999999999998</v>
      </c>
      <c r="AB206" s="42" t="s">
        <v>36</v>
      </c>
      <c r="AC206" s="42">
        <v>1</v>
      </c>
      <c r="AD206" s="42">
        <v>1</v>
      </c>
      <c r="AE206" s="42">
        <v>2415761.2999999998</v>
      </c>
    </row>
    <row r="207" spans="1:31" x14ac:dyDescent="0.2">
      <c r="A207" s="42" t="s">
        <v>917</v>
      </c>
      <c r="B207" s="42">
        <v>1</v>
      </c>
      <c r="C207" s="42" t="s">
        <v>185</v>
      </c>
      <c r="D207" s="42">
        <v>171</v>
      </c>
      <c r="E207" s="42" t="s">
        <v>397</v>
      </c>
      <c r="F207" s="42" t="s">
        <v>489</v>
      </c>
      <c r="G207" s="42">
        <v>3076</v>
      </c>
      <c r="H207" s="42" t="s">
        <v>490</v>
      </c>
      <c r="I207" s="42">
        <v>2794878.4</v>
      </c>
      <c r="J207" s="42">
        <v>2802856.8</v>
      </c>
      <c r="K207" s="42" t="b">
        <v>0</v>
      </c>
      <c r="L207" s="42">
        <v>4</v>
      </c>
      <c r="M207" s="42" t="s">
        <v>128</v>
      </c>
      <c r="N207" s="42">
        <v>1</v>
      </c>
      <c r="O207" s="42" t="s">
        <v>112</v>
      </c>
      <c r="P207" s="42">
        <v>14</v>
      </c>
      <c r="Q207" s="42" t="s">
        <v>323</v>
      </c>
      <c r="R207" s="42" t="s">
        <v>114</v>
      </c>
      <c r="U207" s="42" t="s">
        <v>121</v>
      </c>
      <c r="V207" s="42">
        <v>1</v>
      </c>
      <c r="W207" s="42" t="s">
        <v>116</v>
      </c>
      <c r="X207" s="42">
        <v>18</v>
      </c>
      <c r="Y207" s="42" t="s">
        <v>117</v>
      </c>
      <c r="Z207" s="42">
        <v>2216222.66</v>
      </c>
      <c r="AA207" s="42">
        <v>1.2646999999999999</v>
      </c>
      <c r="AB207" s="42" t="s">
        <v>36</v>
      </c>
      <c r="AC207" s="42">
        <v>1</v>
      </c>
      <c r="AD207" s="42">
        <v>1</v>
      </c>
      <c r="AE207" s="42">
        <v>2802856.8</v>
      </c>
    </row>
    <row r="208" spans="1:31" x14ac:dyDescent="0.2">
      <c r="A208" s="42" t="s">
        <v>917</v>
      </c>
      <c r="B208" s="42">
        <v>1</v>
      </c>
      <c r="C208" s="42" t="s">
        <v>185</v>
      </c>
      <c r="D208" s="42">
        <v>171</v>
      </c>
      <c r="E208" s="42" t="s">
        <v>397</v>
      </c>
      <c r="F208" s="42" t="s">
        <v>270</v>
      </c>
      <c r="G208" s="42">
        <v>3993</v>
      </c>
      <c r="H208" s="42" t="s">
        <v>369</v>
      </c>
      <c r="I208" s="42">
        <v>1879074.82</v>
      </c>
      <c r="J208" s="42">
        <v>1879074.82</v>
      </c>
      <c r="K208" s="42" t="b">
        <v>0</v>
      </c>
      <c r="L208" s="42">
        <v>5</v>
      </c>
      <c r="M208" s="42" t="s">
        <v>108</v>
      </c>
      <c r="N208" s="42">
        <v>29</v>
      </c>
      <c r="O208" s="42" t="s">
        <v>142</v>
      </c>
      <c r="P208" s="42">
        <v>3</v>
      </c>
      <c r="Q208" s="42" t="s">
        <v>325</v>
      </c>
      <c r="R208" s="42" t="s">
        <v>114</v>
      </c>
      <c r="U208" s="42" t="s">
        <v>121</v>
      </c>
      <c r="V208" s="42">
        <v>1</v>
      </c>
      <c r="W208" s="42" t="s">
        <v>116</v>
      </c>
      <c r="X208" s="42">
        <v>18</v>
      </c>
      <c r="Y208" s="42" t="s">
        <v>117</v>
      </c>
      <c r="Z208" s="42">
        <v>265383.55800000002</v>
      </c>
      <c r="AA208" s="42">
        <v>7.0805999999999996</v>
      </c>
      <c r="AB208" s="42" t="s">
        <v>36</v>
      </c>
      <c r="AC208" s="42">
        <v>1</v>
      </c>
      <c r="AD208" s="42">
        <v>1</v>
      </c>
      <c r="AE208" s="42">
        <v>1879074.82</v>
      </c>
    </row>
    <row r="209" spans="1:31" x14ac:dyDescent="0.2">
      <c r="A209" s="42" t="s">
        <v>917</v>
      </c>
      <c r="B209" s="42">
        <v>1</v>
      </c>
      <c r="C209" s="42" t="s">
        <v>185</v>
      </c>
      <c r="D209" s="42">
        <v>171</v>
      </c>
      <c r="E209" s="42" t="s">
        <v>397</v>
      </c>
      <c r="F209" s="42" t="s">
        <v>607</v>
      </c>
      <c r="G209" s="42">
        <v>6065</v>
      </c>
      <c r="H209" s="42" t="s">
        <v>608</v>
      </c>
      <c r="I209" s="42">
        <v>3008850.06</v>
      </c>
      <c r="J209" s="42">
        <v>3008850.06</v>
      </c>
      <c r="K209" s="42" t="b">
        <v>0</v>
      </c>
      <c r="L209" s="42">
        <v>5</v>
      </c>
      <c r="M209" s="42" t="s">
        <v>108</v>
      </c>
      <c r="N209" s="42">
        <v>29</v>
      </c>
      <c r="O209" s="42" t="s">
        <v>142</v>
      </c>
      <c r="P209" s="42">
        <v>3</v>
      </c>
      <c r="Q209" s="42" t="s">
        <v>325</v>
      </c>
      <c r="R209" s="42" t="s">
        <v>114</v>
      </c>
      <c r="U209" s="42" t="s">
        <v>121</v>
      </c>
      <c r="V209" s="42">
        <v>1</v>
      </c>
      <c r="W209" s="42" t="s">
        <v>116</v>
      </c>
      <c r="X209" s="42">
        <v>18</v>
      </c>
      <c r="Y209" s="42" t="s">
        <v>117</v>
      </c>
      <c r="Z209" s="42">
        <v>8483.3310999999994</v>
      </c>
      <c r="AA209" s="42">
        <v>354.67790000000002</v>
      </c>
      <c r="AB209" s="42" t="s">
        <v>36</v>
      </c>
      <c r="AC209" s="42">
        <v>1</v>
      </c>
      <c r="AD209" s="42">
        <v>1</v>
      </c>
      <c r="AE209" s="42">
        <v>3008850.06</v>
      </c>
    </row>
    <row r="210" spans="1:31" x14ac:dyDescent="0.2">
      <c r="A210" s="42" t="s">
        <v>917</v>
      </c>
      <c r="B210" s="42">
        <v>1</v>
      </c>
      <c r="C210" s="42" t="s">
        <v>185</v>
      </c>
      <c r="D210" s="42">
        <v>171</v>
      </c>
      <c r="E210" s="42" t="s">
        <v>397</v>
      </c>
      <c r="F210" s="42" t="s">
        <v>273</v>
      </c>
      <c r="G210" s="42">
        <v>6407</v>
      </c>
      <c r="H210" s="42" t="s">
        <v>282</v>
      </c>
      <c r="I210" s="42">
        <v>935805.24</v>
      </c>
      <c r="J210" s="42">
        <v>935805.24</v>
      </c>
      <c r="K210" s="42" t="b">
        <v>0</v>
      </c>
      <c r="L210" s="42">
        <v>4</v>
      </c>
      <c r="M210" s="42" t="s">
        <v>128</v>
      </c>
      <c r="N210" s="42">
        <v>2</v>
      </c>
      <c r="O210" s="42" t="s">
        <v>122</v>
      </c>
      <c r="P210" s="42">
        <v>72</v>
      </c>
      <c r="Q210" s="42" t="s">
        <v>245</v>
      </c>
      <c r="R210" s="42" t="s">
        <v>114</v>
      </c>
      <c r="U210" s="42" t="s">
        <v>115</v>
      </c>
      <c r="V210" s="42">
        <v>1</v>
      </c>
      <c r="W210" s="42" t="s">
        <v>116</v>
      </c>
      <c r="X210" s="42">
        <v>18</v>
      </c>
      <c r="Y210" s="42" t="s">
        <v>117</v>
      </c>
      <c r="Z210" s="42">
        <v>7096.88</v>
      </c>
      <c r="AA210" s="42">
        <v>131.86150000000001</v>
      </c>
      <c r="AB210" s="42" t="s">
        <v>36</v>
      </c>
      <c r="AC210" s="42">
        <v>1</v>
      </c>
      <c r="AD210" s="42">
        <v>1</v>
      </c>
      <c r="AE210" s="42">
        <v>935805.24</v>
      </c>
    </row>
    <row r="211" spans="1:31" x14ac:dyDescent="0.2">
      <c r="A211" s="42" t="s">
        <v>917</v>
      </c>
      <c r="B211" s="42">
        <v>1</v>
      </c>
      <c r="C211" s="42" t="s">
        <v>185</v>
      </c>
      <c r="D211" s="42">
        <v>171</v>
      </c>
      <c r="E211" s="42" t="s">
        <v>397</v>
      </c>
      <c r="F211" s="42" t="s">
        <v>252</v>
      </c>
      <c r="G211" s="42">
        <v>6639</v>
      </c>
      <c r="H211" s="42" t="s">
        <v>253</v>
      </c>
      <c r="I211" s="42">
        <v>1005736.9</v>
      </c>
      <c r="J211" s="42">
        <v>1005736.9</v>
      </c>
      <c r="K211" s="42" t="b">
        <v>0</v>
      </c>
      <c r="L211" s="42">
        <v>4</v>
      </c>
      <c r="M211" s="42" t="s">
        <v>128</v>
      </c>
      <c r="N211" s="42">
        <v>4</v>
      </c>
      <c r="O211" s="42" t="s">
        <v>109</v>
      </c>
      <c r="P211" s="42">
        <v>197</v>
      </c>
      <c r="Q211" s="42" t="s">
        <v>247</v>
      </c>
      <c r="R211" s="42" t="s">
        <v>114</v>
      </c>
      <c r="U211" s="42" t="s">
        <v>115</v>
      </c>
      <c r="V211" s="42">
        <v>1</v>
      </c>
      <c r="W211" s="42" t="s">
        <v>116</v>
      </c>
      <c r="X211" s="42">
        <v>18</v>
      </c>
      <c r="Y211" s="42" t="s">
        <v>117</v>
      </c>
      <c r="Z211" s="42">
        <v>9752.43</v>
      </c>
      <c r="AA211" s="42">
        <v>103.1268</v>
      </c>
      <c r="AB211" s="42" t="s">
        <v>36</v>
      </c>
      <c r="AC211" s="42">
        <v>1</v>
      </c>
      <c r="AD211" s="42">
        <v>1</v>
      </c>
      <c r="AE211" s="42">
        <v>1005736.9</v>
      </c>
    </row>
    <row r="212" spans="1:31" x14ac:dyDescent="0.2">
      <c r="A212" s="42" t="s">
        <v>917</v>
      </c>
      <c r="B212" s="42">
        <v>1</v>
      </c>
      <c r="C212" s="42" t="s">
        <v>185</v>
      </c>
      <c r="D212" s="42">
        <v>171</v>
      </c>
      <c r="E212" s="42" t="s">
        <v>397</v>
      </c>
      <c r="F212" s="42" t="s">
        <v>198</v>
      </c>
      <c r="G212" s="42">
        <v>6918</v>
      </c>
      <c r="H212" s="42" t="s">
        <v>199</v>
      </c>
      <c r="I212" s="42">
        <v>2828344.36</v>
      </c>
      <c r="J212" s="42">
        <v>2828344.36</v>
      </c>
      <c r="K212" s="42" t="b">
        <v>0</v>
      </c>
      <c r="L212" s="42">
        <v>5</v>
      </c>
      <c r="M212" s="42" t="s">
        <v>108</v>
      </c>
      <c r="N212" s="42">
        <v>28</v>
      </c>
      <c r="O212" s="42" t="s">
        <v>120</v>
      </c>
      <c r="P212" s="42">
        <v>9</v>
      </c>
      <c r="Q212" s="42" t="s">
        <v>320</v>
      </c>
      <c r="R212" s="42" t="s">
        <v>114</v>
      </c>
      <c r="U212" s="42" t="s">
        <v>121</v>
      </c>
      <c r="V212" s="42">
        <v>1</v>
      </c>
      <c r="W212" s="42" t="s">
        <v>116</v>
      </c>
      <c r="X212" s="42">
        <v>18</v>
      </c>
      <c r="Y212" s="42" t="s">
        <v>117</v>
      </c>
      <c r="Z212" s="42">
        <v>1627262.1602</v>
      </c>
      <c r="AA212" s="42">
        <v>1.7381</v>
      </c>
      <c r="AB212" s="42" t="s">
        <v>36</v>
      </c>
      <c r="AC212" s="42">
        <v>1</v>
      </c>
      <c r="AD212" s="42">
        <v>1</v>
      </c>
      <c r="AE212" s="42">
        <v>2828344.36</v>
      </c>
    </row>
    <row r="213" spans="1:31" x14ac:dyDescent="0.2">
      <c r="A213" s="42" t="s">
        <v>917</v>
      </c>
      <c r="B213" s="42">
        <v>1</v>
      </c>
      <c r="C213" s="42" t="s">
        <v>185</v>
      </c>
      <c r="D213" s="42">
        <v>171</v>
      </c>
      <c r="E213" s="42" t="s">
        <v>397</v>
      </c>
      <c r="F213" s="42" t="s">
        <v>271</v>
      </c>
      <c r="G213" s="42">
        <v>6986</v>
      </c>
      <c r="H213" s="42" t="s">
        <v>318</v>
      </c>
      <c r="I213" s="42">
        <v>3414720.25</v>
      </c>
      <c r="J213" s="42">
        <v>3414720.25</v>
      </c>
      <c r="K213" s="42" t="b">
        <v>0</v>
      </c>
      <c r="L213" s="42">
        <v>5</v>
      </c>
      <c r="M213" s="42" t="s">
        <v>108</v>
      </c>
      <c r="N213" s="42">
        <v>4</v>
      </c>
      <c r="O213" s="42" t="s">
        <v>109</v>
      </c>
      <c r="P213" s="42">
        <v>26</v>
      </c>
      <c r="Q213" s="42" t="s">
        <v>327</v>
      </c>
      <c r="R213" s="42" t="s">
        <v>114</v>
      </c>
      <c r="U213" s="42" t="s">
        <v>121</v>
      </c>
      <c r="V213" s="42">
        <v>1</v>
      </c>
      <c r="W213" s="42" t="s">
        <v>116</v>
      </c>
      <c r="X213" s="42">
        <v>18</v>
      </c>
      <c r="Y213" s="42" t="s">
        <v>117</v>
      </c>
      <c r="Z213" s="42">
        <v>1198105.416</v>
      </c>
      <c r="AA213" s="42">
        <v>2.8500999999999999</v>
      </c>
      <c r="AB213" s="42" t="s">
        <v>36</v>
      </c>
      <c r="AC213" s="42">
        <v>1</v>
      </c>
      <c r="AD213" s="42">
        <v>1</v>
      </c>
      <c r="AE213" s="42">
        <v>3414720.25</v>
      </c>
    </row>
    <row r="214" spans="1:31" x14ac:dyDescent="0.2">
      <c r="A214" s="42" t="s">
        <v>917</v>
      </c>
      <c r="B214" s="42">
        <v>1</v>
      </c>
      <c r="C214" s="42" t="s">
        <v>185</v>
      </c>
      <c r="D214" s="42">
        <v>171</v>
      </c>
      <c r="E214" s="42" t="s">
        <v>397</v>
      </c>
      <c r="F214" s="42" t="s">
        <v>201</v>
      </c>
      <c r="G214" s="42">
        <v>7000</v>
      </c>
      <c r="H214" s="42" t="s">
        <v>202</v>
      </c>
      <c r="I214" s="42">
        <v>2573484.4</v>
      </c>
      <c r="J214" s="42">
        <v>2573484.4</v>
      </c>
      <c r="K214" s="42" t="b">
        <v>0</v>
      </c>
      <c r="L214" s="42">
        <v>5</v>
      </c>
      <c r="M214" s="42" t="s">
        <v>108</v>
      </c>
      <c r="N214" s="42">
        <v>4</v>
      </c>
      <c r="O214" s="42" t="s">
        <v>109</v>
      </c>
      <c r="P214" s="42">
        <v>6</v>
      </c>
      <c r="Q214" s="42" t="s">
        <v>109</v>
      </c>
      <c r="R214" s="42" t="s">
        <v>114</v>
      </c>
      <c r="U214" s="42" t="s">
        <v>121</v>
      </c>
      <c r="V214" s="42">
        <v>1</v>
      </c>
      <c r="W214" s="42" t="s">
        <v>116</v>
      </c>
      <c r="X214" s="42">
        <v>18</v>
      </c>
      <c r="Y214" s="42" t="s">
        <v>117</v>
      </c>
      <c r="Z214" s="42">
        <v>279059.25</v>
      </c>
      <c r="AA214" s="42">
        <v>9.2219999999999995</v>
      </c>
      <c r="AB214" s="42" t="s">
        <v>36</v>
      </c>
      <c r="AC214" s="42">
        <v>1</v>
      </c>
      <c r="AD214" s="42">
        <v>1</v>
      </c>
      <c r="AE214" s="42">
        <v>2573484.4</v>
      </c>
    </row>
    <row r="215" spans="1:31" x14ac:dyDescent="0.2">
      <c r="A215" s="42" t="s">
        <v>917</v>
      </c>
      <c r="B215" s="42">
        <v>1</v>
      </c>
      <c r="C215" s="42" t="s">
        <v>185</v>
      </c>
      <c r="D215" s="42">
        <v>171</v>
      </c>
      <c r="E215" s="42" t="s">
        <v>397</v>
      </c>
      <c r="F215" s="42" t="s">
        <v>613</v>
      </c>
      <c r="G215" s="42">
        <v>8577</v>
      </c>
      <c r="H215" s="42" t="s">
        <v>614</v>
      </c>
      <c r="I215" s="42">
        <v>1490047.77</v>
      </c>
      <c r="J215" s="42">
        <v>1490047.77</v>
      </c>
      <c r="K215" s="42" t="b">
        <v>0</v>
      </c>
      <c r="L215" s="42">
        <v>4</v>
      </c>
      <c r="M215" s="42" t="s">
        <v>128</v>
      </c>
      <c r="N215" s="42">
        <v>1</v>
      </c>
      <c r="O215" s="42" t="s">
        <v>112</v>
      </c>
      <c r="P215" s="42">
        <v>81</v>
      </c>
      <c r="Q215" s="42" t="s">
        <v>250</v>
      </c>
      <c r="R215" s="42" t="s">
        <v>114</v>
      </c>
      <c r="U215" s="42" t="s">
        <v>121</v>
      </c>
      <c r="V215" s="42">
        <v>1</v>
      </c>
      <c r="W215" s="42" t="s">
        <v>116</v>
      </c>
      <c r="X215" s="42">
        <v>18</v>
      </c>
      <c r="Y215" s="42" t="s">
        <v>117</v>
      </c>
      <c r="Z215" s="42">
        <v>623190.201</v>
      </c>
      <c r="AA215" s="42">
        <v>2.391</v>
      </c>
      <c r="AB215" s="42" t="s">
        <v>36</v>
      </c>
      <c r="AC215" s="42">
        <v>1</v>
      </c>
      <c r="AD215" s="42">
        <v>1</v>
      </c>
      <c r="AE215" s="42">
        <v>1490047.77</v>
      </c>
    </row>
    <row r="216" spans="1:31" x14ac:dyDescent="0.2">
      <c r="A216" s="42" t="s">
        <v>917</v>
      </c>
      <c r="B216" s="42">
        <v>1</v>
      </c>
      <c r="C216" s="42" t="s">
        <v>185</v>
      </c>
      <c r="D216" s="42">
        <v>171</v>
      </c>
      <c r="E216" s="42" t="s">
        <v>397</v>
      </c>
      <c r="F216" s="42" t="s">
        <v>621</v>
      </c>
      <c r="G216" s="42">
        <v>8828</v>
      </c>
      <c r="H216" s="42" t="s">
        <v>622</v>
      </c>
      <c r="I216" s="42">
        <v>981022.06</v>
      </c>
      <c r="J216" s="42">
        <v>981022.06</v>
      </c>
      <c r="K216" s="42" t="b">
        <v>0</v>
      </c>
      <c r="L216" s="42">
        <v>4</v>
      </c>
      <c r="M216" s="42" t="s">
        <v>128</v>
      </c>
      <c r="N216" s="42">
        <v>2</v>
      </c>
      <c r="O216" s="42" t="s">
        <v>122</v>
      </c>
      <c r="P216" s="42">
        <v>88</v>
      </c>
      <c r="Q216" s="42" t="s">
        <v>623</v>
      </c>
      <c r="R216" s="42" t="s">
        <v>114</v>
      </c>
      <c r="U216" s="42" t="s">
        <v>121</v>
      </c>
      <c r="V216" s="42">
        <v>1</v>
      </c>
      <c r="W216" s="42" t="s">
        <v>116</v>
      </c>
      <c r="X216" s="42">
        <v>18</v>
      </c>
      <c r="Y216" s="42" t="s">
        <v>117</v>
      </c>
      <c r="Z216" s="42">
        <v>811902.72199999995</v>
      </c>
      <c r="AA216" s="42">
        <v>1.2082999999999999</v>
      </c>
      <c r="AB216" s="42" t="s">
        <v>36</v>
      </c>
      <c r="AC216" s="42">
        <v>1</v>
      </c>
      <c r="AD216" s="42">
        <v>1</v>
      </c>
      <c r="AE216" s="42">
        <v>981022.06</v>
      </c>
    </row>
    <row r="217" spans="1:31" x14ac:dyDescent="0.2">
      <c r="A217" s="42" t="s">
        <v>917</v>
      </c>
      <c r="B217" s="42">
        <v>1</v>
      </c>
      <c r="C217" s="42" t="s">
        <v>185</v>
      </c>
      <c r="D217" s="42">
        <v>171</v>
      </c>
      <c r="E217" s="42" t="s">
        <v>397</v>
      </c>
      <c r="F217" s="42" t="s">
        <v>624</v>
      </c>
      <c r="G217" s="42">
        <v>8830</v>
      </c>
      <c r="H217" s="42" t="s">
        <v>625</v>
      </c>
      <c r="I217" s="42">
        <v>985011.67</v>
      </c>
      <c r="J217" s="42">
        <v>985011.67</v>
      </c>
      <c r="K217" s="42" t="b">
        <v>0</v>
      </c>
      <c r="L217" s="42">
        <v>4</v>
      </c>
      <c r="M217" s="42" t="s">
        <v>128</v>
      </c>
      <c r="N217" s="42">
        <v>5</v>
      </c>
      <c r="O217" s="42" t="s">
        <v>143</v>
      </c>
      <c r="P217" s="42">
        <v>89</v>
      </c>
      <c r="Q217" s="42" t="s">
        <v>337</v>
      </c>
      <c r="R217" s="42" t="s">
        <v>114</v>
      </c>
      <c r="U217" s="42" t="s">
        <v>121</v>
      </c>
      <c r="V217" s="42">
        <v>1</v>
      </c>
      <c r="W217" s="42" t="s">
        <v>116</v>
      </c>
      <c r="X217" s="42">
        <v>18</v>
      </c>
      <c r="Y217" s="42" t="s">
        <v>117</v>
      </c>
      <c r="Z217" s="42">
        <v>652714.64130000002</v>
      </c>
      <c r="AA217" s="42">
        <v>1.5091000000000001</v>
      </c>
      <c r="AB217" s="42" t="s">
        <v>36</v>
      </c>
      <c r="AC217" s="42">
        <v>1</v>
      </c>
      <c r="AD217" s="42">
        <v>1</v>
      </c>
      <c r="AE217" s="42">
        <v>985011.67</v>
      </c>
    </row>
    <row r="218" spans="1:31" x14ac:dyDescent="0.2">
      <c r="A218" s="42" t="s">
        <v>917</v>
      </c>
      <c r="B218" s="42">
        <v>1</v>
      </c>
      <c r="C218" s="42" t="s">
        <v>185</v>
      </c>
      <c r="D218" s="42">
        <v>171</v>
      </c>
      <c r="E218" s="42" t="s">
        <v>397</v>
      </c>
      <c r="F218" s="42" t="s">
        <v>626</v>
      </c>
      <c r="G218" s="42">
        <v>8832</v>
      </c>
      <c r="H218" s="42" t="s">
        <v>627</v>
      </c>
      <c r="I218" s="42">
        <v>1883974.9</v>
      </c>
      <c r="J218" s="42">
        <v>1883974.9</v>
      </c>
      <c r="K218" s="42" t="b">
        <v>0</v>
      </c>
      <c r="L218" s="42">
        <v>5</v>
      </c>
      <c r="M218" s="42" t="s">
        <v>108</v>
      </c>
      <c r="N218" s="42">
        <v>1</v>
      </c>
      <c r="O218" s="42" t="s">
        <v>112</v>
      </c>
      <c r="P218" s="42">
        <v>51</v>
      </c>
      <c r="Q218" s="42" t="s">
        <v>112</v>
      </c>
      <c r="R218" s="42" t="s">
        <v>114</v>
      </c>
      <c r="U218" s="42" t="s">
        <v>121</v>
      </c>
      <c r="V218" s="42">
        <v>1</v>
      </c>
      <c r="W218" s="42" t="s">
        <v>116</v>
      </c>
      <c r="X218" s="42">
        <v>18</v>
      </c>
      <c r="Y218" s="42" t="s">
        <v>117</v>
      </c>
      <c r="Z218" s="42">
        <v>1526721.9609999999</v>
      </c>
      <c r="AA218" s="42">
        <v>1.234</v>
      </c>
      <c r="AB218" s="42" t="s">
        <v>36</v>
      </c>
      <c r="AC218" s="42">
        <v>1</v>
      </c>
      <c r="AD218" s="42">
        <v>1</v>
      </c>
      <c r="AE218" s="42">
        <v>1883974.9</v>
      </c>
    </row>
    <row r="219" spans="1:31" x14ac:dyDescent="0.2">
      <c r="A219" s="42" t="s">
        <v>917</v>
      </c>
      <c r="B219" s="42">
        <v>1</v>
      </c>
      <c r="C219" s="42" t="s">
        <v>185</v>
      </c>
      <c r="D219" s="42">
        <v>171</v>
      </c>
      <c r="E219" s="42" t="s">
        <v>397</v>
      </c>
      <c r="F219" s="42" t="s">
        <v>628</v>
      </c>
      <c r="G219" s="42">
        <v>8833</v>
      </c>
      <c r="H219" s="42" t="s">
        <v>629</v>
      </c>
      <c r="I219" s="42">
        <v>2842860.99</v>
      </c>
      <c r="J219" s="42">
        <v>2842860.99</v>
      </c>
      <c r="K219" s="42" t="b">
        <v>0</v>
      </c>
      <c r="L219" s="42">
        <v>5</v>
      </c>
      <c r="M219" s="42" t="s">
        <v>108</v>
      </c>
      <c r="N219" s="42">
        <v>20</v>
      </c>
      <c r="O219" s="42" t="s">
        <v>155</v>
      </c>
      <c r="P219" s="42">
        <v>227</v>
      </c>
      <c r="Q219" s="42" t="s">
        <v>338</v>
      </c>
      <c r="R219" s="42" t="s">
        <v>114</v>
      </c>
      <c r="U219" s="42" t="s">
        <v>121</v>
      </c>
      <c r="V219" s="42">
        <v>1</v>
      </c>
      <c r="W219" s="42" t="s">
        <v>116</v>
      </c>
      <c r="X219" s="42">
        <v>18</v>
      </c>
      <c r="Y219" s="42" t="s">
        <v>117</v>
      </c>
      <c r="Z219" s="42">
        <v>644785.89</v>
      </c>
      <c r="AA219" s="42">
        <v>4.4089999999999998</v>
      </c>
      <c r="AB219" s="42" t="s">
        <v>36</v>
      </c>
      <c r="AC219" s="42">
        <v>1</v>
      </c>
      <c r="AD219" s="42">
        <v>1</v>
      </c>
      <c r="AE219" s="42">
        <v>2842860.99</v>
      </c>
    </row>
    <row r="220" spans="1:31" x14ac:dyDescent="0.2">
      <c r="A220" s="42" t="s">
        <v>917</v>
      </c>
      <c r="B220" s="42">
        <v>1</v>
      </c>
      <c r="C220" s="42" t="s">
        <v>185</v>
      </c>
      <c r="D220" s="42">
        <v>171</v>
      </c>
      <c r="E220" s="42" t="s">
        <v>397</v>
      </c>
      <c r="F220" s="42" t="s">
        <v>277</v>
      </c>
      <c r="G220" s="42">
        <v>9238</v>
      </c>
      <c r="H220" s="42" t="s">
        <v>278</v>
      </c>
      <c r="I220" s="42">
        <v>2391682.34</v>
      </c>
      <c r="J220" s="42">
        <v>2391682.34</v>
      </c>
      <c r="K220" s="42" t="b">
        <v>0</v>
      </c>
      <c r="L220" s="42">
        <v>5</v>
      </c>
      <c r="M220" s="42" t="s">
        <v>108</v>
      </c>
      <c r="N220" s="42">
        <v>1</v>
      </c>
      <c r="O220" s="42" t="s">
        <v>112</v>
      </c>
      <c r="P220" s="42">
        <v>115</v>
      </c>
      <c r="Q220" s="42" t="s">
        <v>254</v>
      </c>
      <c r="R220" s="42" t="s">
        <v>114</v>
      </c>
      <c r="U220" s="42" t="s">
        <v>121</v>
      </c>
      <c r="V220" s="42">
        <v>1</v>
      </c>
      <c r="W220" s="42" t="s">
        <v>116</v>
      </c>
      <c r="X220" s="42">
        <v>18</v>
      </c>
      <c r="Y220" s="42" t="s">
        <v>117</v>
      </c>
      <c r="Z220" s="42">
        <v>3026296.7749999999</v>
      </c>
      <c r="AA220" s="42">
        <v>0.7903</v>
      </c>
      <c r="AB220" s="42" t="s">
        <v>36</v>
      </c>
      <c r="AC220" s="42">
        <v>1</v>
      </c>
      <c r="AD220" s="42">
        <v>1</v>
      </c>
      <c r="AE220" s="42">
        <v>2391682.34</v>
      </c>
    </row>
    <row r="221" spans="1:31" x14ac:dyDescent="0.2">
      <c r="A221" s="42" t="s">
        <v>917</v>
      </c>
      <c r="B221" s="42">
        <v>1</v>
      </c>
      <c r="C221" s="42" t="s">
        <v>185</v>
      </c>
      <c r="D221" s="42">
        <v>171</v>
      </c>
      <c r="E221" s="42" t="s">
        <v>397</v>
      </c>
      <c r="F221" s="42" t="s">
        <v>292</v>
      </c>
      <c r="G221" s="42">
        <v>9306</v>
      </c>
      <c r="H221" s="42" t="s">
        <v>293</v>
      </c>
      <c r="I221" s="42">
        <v>1885823.6</v>
      </c>
      <c r="J221" s="42">
        <v>1885823.6</v>
      </c>
      <c r="K221" s="42" t="b">
        <v>0</v>
      </c>
      <c r="L221" s="42">
        <v>5</v>
      </c>
      <c r="M221" s="42" t="s">
        <v>108</v>
      </c>
      <c r="N221" s="42">
        <v>27</v>
      </c>
      <c r="O221" s="42" t="s">
        <v>129</v>
      </c>
      <c r="P221" s="42">
        <v>10</v>
      </c>
      <c r="Q221" s="42" t="s">
        <v>129</v>
      </c>
      <c r="R221" s="42" t="s">
        <v>114</v>
      </c>
      <c r="U221" s="42" t="s">
        <v>121</v>
      </c>
      <c r="V221" s="42">
        <v>1</v>
      </c>
      <c r="W221" s="42" t="s">
        <v>116</v>
      </c>
      <c r="X221" s="42">
        <v>18</v>
      </c>
      <c r="Y221" s="42" t="s">
        <v>117</v>
      </c>
      <c r="Z221" s="42">
        <v>710960.82900000003</v>
      </c>
      <c r="AA221" s="42">
        <v>2.6524999999999999</v>
      </c>
      <c r="AB221" s="42" t="s">
        <v>36</v>
      </c>
      <c r="AC221" s="42">
        <v>1</v>
      </c>
      <c r="AD221" s="42">
        <v>1</v>
      </c>
      <c r="AE221" s="42">
        <v>1885823.6</v>
      </c>
    </row>
    <row r="222" spans="1:31" x14ac:dyDescent="0.2">
      <c r="A222" s="42" t="s">
        <v>917</v>
      </c>
      <c r="B222" s="42">
        <v>1</v>
      </c>
      <c r="C222" s="42" t="s">
        <v>185</v>
      </c>
      <c r="D222" s="42">
        <v>171</v>
      </c>
      <c r="E222" s="42" t="s">
        <v>397</v>
      </c>
      <c r="F222" s="42" t="s">
        <v>630</v>
      </c>
      <c r="G222" s="42">
        <v>9357</v>
      </c>
      <c r="H222" s="42" t="s">
        <v>631</v>
      </c>
      <c r="I222" s="42">
        <v>1875136</v>
      </c>
      <c r="J222" s="42">
        <v>1880784</v>
      </c>
      <c r="K222" s="42" t="b">
        <v>1</v>
      </c>
      <c r="L222" s="42">
        <v>5</v>
      </c>
      <c r="M222" s="42" t="s">
        <v>108</v>
      </c>
      <c r="N222" s="42">
        <v>2</v>
      </c>
      <c r="O222" s="42" t="s">
        <v>122</v>
      </c>
      <c r="P222" s="42">
        <v>23</v>
      </c>
      <c r="Q222" s="42" t="s">
        <v>328</v>
      </c>
      <c r="R222" s="42" t="s">
        <v>204</v>
      </c>
      <c r="S222" s="42">
        <v>1</v>
      </c>
      <c r="T222" s="42" t="s">
        <v>205</v>
      </c>
      <c r="U222" s="42" t="s">
        <v>121</v>
      </c>
      <c r="V222" s="42">
        <v>9</v>
      </c>
      <c r="W222" s="42" t="s">
        <v>206</v>
      </c>
      <c r="X222" s="42">
        <v>4</v>
      </c>
      <c r="Y222" s="42" t="s">
        <v>230</v>
      </c>
      <c r="Z222" s="42">
        <v>141200</v>
      </c>
      <c r="AA222" s="42">
        <v>13.32</v>
      </c>
      <c r="AB222" s="42" t="s">
        <v>36</v>
      </c>
      <c r="AC222" s="42">
        <v>1</v>
      </c>
      <c r="AD222" s="42">
        <v>1</v>
      </c>
      <c r="AE222" s="42">
        <v>1880784</v>
      </c>
    </row>
    <row r="223" spans="1:31" x14ac:dyDescent="0.2">
      <c r="A223" s="42" t="s">
        <v>917</v>
      </c>
      <c r="B223" s="42">
        <v>1</v>
      </c>
      <c r="C223" s="42" t="s">
        <v>185</v>
      </c>
      <c r="D223" s="42">
        <v>171</v>
      </c>
      <c r="E223" s="42" t="s">
        <v>397</v>
      </c>
      <c r="F223" s="42" t="s">
        <v>617</v>
      </c>
      <c r="G223" s="42">
        <v>9385</v>
      </c>
      <c r="H223" s="42" t="s">
        <v>618</v>
      </c>
      <c r="I223" s="42">
        <v>972254.43</v>
      </c>
      <c r="J223" s="42">
        <v>973460.7</v>
      </c>
      <c r="K223" s="42" t="b">
        <v>1</v>
      </c>
      <c r="L223" s="42">
        <v>3</v>
      </c>
      <c r="M223" s="42" t="s">
        <v>209</v>
      </c>
      <c r="N223" s="42">
        <v>2</v>
      </c>
      <c r="O223" s="42" t="s">
        <v>122</v>
      </c>
      <c r="P223" s="42">
        <v>22</v>
      </c>
      <c r="Q223" s="42" t="s">
        <v>209</v>
      </c>
      <c r="R223" s="42" t="s">
        <v>204</v>
      </c>
      <c r="S223" s="42">
        <v>1</v>
      </c>
      <c r="T223" s="42" t="s">
        <v>205</v>
      </c>
      <c r="U223" s="42" t="s">
        <v>121</v>
      </c>
      <c r="V223" s="42">
        <v>9</v>
      </c>
      <c r="W223" s="42" t="s">
        <v>206</v>
      </c>
      <c r="X223" s="42">
        <v>25</v>
      </c>
      <c r="Y223" s="42" t="s">
        <v>227</v>
      </c>
      <c r="Z223" s="42">
        <v>1206271</v>
      </c>
      <c r="AA223" s="42">
        <v>0.80700000000000005</v>
      </c>
      <c r="AB223" s="42" t="s">
        <v>36</v>
      </c>
      <c r="AC223" s="42">
        <v>1</v>
      </c>
      <c r="AD223" s="42">
        <v>1</v>
      </c>
      <c r="AE223" s="42">
        <v>973460.7</v>
      </c>
    </row>
    <row r="224" spans="1:31" x14ac:dyDescent="0.2">
      <c r="A224" s="42" t="s">
        <v>917</v>
      </c>
      <c r="B224" s="42">
        <v>1</v>
      </c>
      <c r="C224" s="42" t="s">
        <v>185</v>
      </c>
      <c r="D224" s="42">
        <v>171</v>
      </c>
      <c r="E224" s="42" t="s">
        <v>397</v>
      </c>
      <c r="F224" s="42" t="s">
        <v>362</v>
      </c>
      <c r="G224" s="42">
        <v>10019</v>
      </c>
      <c r="H224" s="42" t="s">
        <v>363</v>
      </c>
      <c r="I224" s="42">
        <v>4690285.9800000004</v>
      </c>
      <c r="J224" s="42">
        <v>4690623.0199999996</v>
      </c>
      <c r="K224" s="42" t="b">
        <v>1</v>
      </c>
      <c r="L224" s="42">
        <v>5</v>
      </c>
      <c r="M224" s="42" t="s">
        <v>108</v>
      </c>
      <c r="N224" s="42">
        <v>4</v>
      </c>
      <c r="O224" s="42" t="s">
        <v>109</v>
      </c>
      <c r="P224" s="42">
        <v>6</v>
      </c>
      <c r="Q224" s="42" t="s">
        <v>109</v>
      </c>
      <c r="R224" s="42" t="s">
        <v>243</v>
      </c>
      <c r="S224" s="42">
        <v>1</v>
      </c>
      <c r="T224" s="42" t="s">
        <v>205</v>
      </c>
      <c r="U224" s="42" t="s">
        <v>115</v>
      </c>
      <c r="V224" s="42">
        <v>1</v>
      </c>
      <c r="W224" s="42" t="s">
        <v>116</v>
      </c>
      <c r="X224" s="42">
        <v>22</v>
      </c>
      <c r="Y224" s="42" t="s">
        <v>217</v>
      </c>
      <c r="Z224" s="42">
        <v>77385</v>
      </c>
      <c r="AA224" s="42">
        <v>69.584999999999994</v>
      </c>
      <c r="AB224" s="42" t="s">
        <v>34</v>
      </c>
      <c r="AC224" s="42">
        <v>1.1479999999999999</v>
      </c>
      <c r="AD224" s="42">
        <v>1</v>
      </c>
      <c r="AE224" s="42">
        <v>4690623.0199999996</v>
      </c>
    </row>
    <row r="225" spans="1:31" x14ac:dyDescent="0.2">
      <c r="A225" s="42" t="s">
        <v>917</v>
      </c>
      <c r="B225" s="42">
        <v>1</v>
      </c>
      <c r="C225" s="42" t="s">
        <v>185</v>
      </c>
      <c r="D225" s="42">
        <v>171</v>
      </c>
      <c r="E225" s="42" t="s">
        <v>397</v>
      </c>
      <c r="F225" s="42" t="s">
        <v>344</v>
      </c>
      <c r="G225" s="42">
        <v>10176</v>
      </c>
      <c r="H225" s="42" t="s">
        <v>345</v>
      </c>
      <c r="I225" s="42">
        <v>2502457.63</v>
      </c>
      <c r="J225" s="42">
        <v>2502457.63</v>
      </c>
      <c r="K225" s="42" t="b">
        <v>0</v>
      </c>
      <c r="L225" s="42">
        <v>5</v>
      </c>
      <c r="M225" s="42" t="s">
        <v>108</v>
      </c>
      <c r="N225" s="42">
        <v>2</v>
      </c>
      <c r="O225" s="42" t="s">
        <v>122</v>
      </c>
      <c r="P225" s="42">
        <v>2</v>
      </c>
      <c r="Q225" s="42" t="s">
        <v>322</v>
      </c>
      <c r="R225" s="42" t="s">
        <v>114</v>
      </c>
      <c r="U225" s="42" t="s">
        <v>121</v>
      </c>
      <c r="V225" s="42">
        <v>1</v>
      </c>
      <c r="W225" s="42" t="s">
        <v>116</v>
      </c>
      <c r="X225" s="42">
        <v>18</v>
      </c>
      <c r="Y225" s="42" t="s">
        <v>117</v>
      </c>
      <c r="Z225" s="42">
        <v>2176617.9300000002</v>
      </c>
      <c r="AA225" s="42">
        <v>1.1496999999999999</v>
      </c>
      <c r="AB225" s="42" t="s">
        <v>36</v>
      </c>
      <c r="AC225" s="42">
        <v>1</v>
      </c>
      <c r="AD225" s="42">
        <v>1</v>
      </c>
      <c r="AE225" s="42">
        <v>2502457.63</v>
      </c>
    </row>
    <row r="226" spans="1:31" x14ac:dyDescent="0.2">
      <c r="A226" s="42" t="s">
        <v>917</v>
      </c>
      <c r="B226" s="42">
        <v>1</v>
      </c>
      <c r="C226" s="42" t="s">
        <v>186</v>
      </c>
      <c r="D226" s="42">
        <v>172</v>
      </c>
      <c r="E226" s="42" t="s">
        <v>396</v>
      </c>
      <c r="F226" s="42" t="s">
        <v>517</v>
      </c>
      <c r="G226" s="42">
        <v>2522</v>
      </c>
      <c r="H226" s="42" t="s">
        <v>518</v>
      </c>
      <c r="I226" s="42">
        <v>389329.73</v>
      </c>
      <c r="J226" s="42">
        <v>389329.73</v>
      </c>
      <c r="K226" s="42" t="b">
        <v>0</v>
      </c>
      <c r="L226" s="42">
        <v>5</v>
      </c>
      <c r="M226" s="42" t="s">
        <v>108</v>
      </c>
      <c r="N226" s="42">
        <v>28</v>
      </c>
      <c r="O226" s="42" t="s">
        <v>120</v>
      </c>
      <c r="P226" s="42">
        <v>9</v>
      </c>
      <c r="Q226" s="42" t="s">
        <v>320</v>
      </c>
      <c r="R226" s="42" t="s">
        <v>114</v>
      </c>
      <c r="U226" s="42" t="s">
        <v>121</v>
      </c>
      <c r="V226" s="42">
        <v>1</v>
      </c>
      <c r="W226" s="42" t="s">
        <v>116</v>
      </c>
      <c r="X226" s="42">
        <v>18</v>
      </c>
      <c r="Y226" s="42" t="s">
        <v>117</v>
      </c>
      <c r="Z226" s="42">
        <v>40374.337</v>
      </c>
      <c r="AA226" s="42">
        <v>9.6430000000000007</v>
      </c>
      <c r="AB226" s="42" t="s">
        <v>36</v>
      </c>
      <c r="AC226" s="42">
        <v>1</v>
      </c>
      <c r="AD226" s="42">
        <v>1</v>
      </c>
      <c r="AE226" s="42">
        <v>389329.73</v>
      </c>
    </row>
    <row r="227" spans="1:31" x14ac:dyDescent="0.2">
      <c r="A227" s="42" t="s">
        <v>917</v>
      </c>
      <c r="B227" s="42">
        <v>1</v>
      </c>
      <c r="C227" s="42" t="s">
        <v>186</v>
      </c>
      <c r="D227" s="42">
        <v>172</v>
      </c>
      <c r="E227" s="42" t="s">
        <v>396</v>
      </c>
      <c r="F227" s="42" t="s">
        <v>603</v>
      </c>
      <c r="G227" s="42">
        <v>2662</v>
      </c>
      <c r="H227" s="42" t="s">
        <v>604</v>
      </c>
      <c r="I227" s="42">
        <v>232457.11</v>
      </c>
      <c r="J227" s="42">
        <v>232457.11</v>
      </c>
      <c r="K227" s="42" t="b">
        <v>0</v>
      </c>
      <c r="L227" s="42">
        <v>5</v>
      </c>
      <c r="M227" s="42" t="s">
        <v>108</v>
      </c>
      <c r="N227" s="42">
        <v>2</v>
      </c>
      <c r="O227" s="42" t="s">
        <v>122</v>
      </c>
      <c r="P227" s="42">
        <v>1</v>
      </c>
      <c r="Q227" s="42" t="s">
        <v>326</v>
      </c>
      <c r="R227" s="42" t="s">
        <v>114</v>
      </c>
      <c r="U227" s="42" t="s">
        <v>121</v>
      </c>
      <c r="V227" s="42">
        <v>1</v>
      </c>
      <c r="W227" s="42" t="s">
        <v>116</v>
      </c>
      <c r="X227" s="42">
        <v>13</v>
      </c>
      <c r="Y227" s="42" t="s">
        <v>166</v>
      </c>
      <c r="Z227" s="42">
        <v>43447.49</v>
      </c>
      <c r="AA227" s="42">
        <v>5.3502999999999998</v>
      </c>
      <c r="AB227" s="42" t="s">
        <v>36</v>
      </c>
      <c r="AC227" s="42">
        <v>1</v>
      </c>
      <c r="AD227" s="42">
        <v>1</v>
      </c>
      <c r="AE227" s="42">
        <v>232457.11</v>
      </c>
    </row>
    <row r="228" spans="1:31" x14ac:dyDescent="0.2">
      <c r="A228" s="42" t="s">
        <v>917</v>
      </c>
      <c r="B228" s="42">
        <v>1</v>
      </c>
      <c r="C228" s="42" t="s">
        <v>186</v>
      </c>
      <c r="D228" s="42">
        <v>172</v>
      </c>
      <c r="E228" s="42" t="s">
        <v>396</v>
      </c>
      <c r="F228" s="42" t="s">
        <v>605</v>
      </c>
      <c r="G228" s="42">
        <v>2737</v>
      </c>
      <c r="H228" s="42" t="s">
        <v>606</v>
      </c>
      <c r="I228" s="42">
        <v>195810.86</v>
      </c>
      <c r="J228" s="42">
        <v>195810.86</v>
      </c>
      <c r="K228" s="42" t="b">
        <v>0</v>
      </c>
      <c r="L228" s="42">
        <v>5</v>
      </c>
      <c r="M228" s="42" t="s">
        <v>108</v>
      </c>
      <c r="N228" s="42">
        <v>27</v>
      </c>
      <c r="O228" s="42" t="s">
        <v>129</v>
      </c>
      <c r="P228" s="42">
        <v>10</v>
      </c>
      <c r="Q228" s="42" t="s">
        <v>129</v>
      </c>
      <c r="R228" s="42" t="s">
        <v>114</v>
      </c>
      <c r="U228" s="42" t="s">
        <v>121</v>
      </c>
      <c r="V228" s="42">
        <v>1</v>
      </c>
      <c r="W228" s="42" t="s">
        <v>116</v>
      </c>
      <c r="X228" s="42">
        <v>18</v>
      </c>
      <c r="Y228" s="42" t="s">
        <v>117</v>
      </c>
      <c r="Z228" s="42">
        <v>10630.34</v>
      </c>
      <c r="AA228" s="42">
        <v>18.420000000000002</v>
      </c>
      <c r="AB228" s="42" t="s">
        <v>36</v>
      </c>
      <c r="AC228" s="42">
        <v>1</v>
      </c>
      <c r="AD228" s="42">
        <v>1</v>
      </c>
      <c r="AE228" s="42">
        <v>195810.86</v>
      </c>
    </row>
    <row r="229" spans="1:31" x14ac:dyDescent="0.2">
      <c r="A229" s="42" t="s">
        <v>917</v>
      </c>
      <c r="B229" s="42">
        <v>1</v>
      </c>
      <c r="C229" s="42" t="s">
        <v>186</v>
      </c>
      <c r="D229" s="42">
        <v>172</v>
      </c>
      <c r="E229" s="42" t="s">
        <v>396</v>
      </c>
      <c r="F229" s="42" t="s">
        <v>195</v>
      </c>
      <c r="G229" s="42">
        <v>2859</v>
      </c>
      <c r="H229" s="42" t="s">
        <v>280</v>
      </c>
      <c r="I229" s="42">
        <v>236358.84</v>
      </c>
      <c r="J229" s="42">
        <v>236358.84</v>
      </c>
      <c r="K229" s="42" t="b">
        <v>0</v>
      </c>
      <c r="L229" s="42">
        <v>5</v>
      </c>
      <c r="M229" s="42" t="s">
        <v>108</v>
      </c>
      <c r="N229" s="42">
        <v>2</v>
      </c>
      <c r="O229" s="42" t="s">
        <v>122</v>
      </c>
      <c r="P229" s="42">
        <v>1</v>
      </c>
      <c r="Q229" s="42" t="s">
        <v>326</v>
      </c>
      <c r="R229" s="42" t="s">
        <v>114</v>
      </c>
      <c r="U229" s="42" t="s">
        <v>121</v>
      </c>
      <c r="V229" s="42">
        <v>1</v>
      </c>
      <c r="W229" s="42" t="s">
        <v>116</v>
      </c>
      <c r="X229" s="42">
        <v>18</v>
      </c>
      <c r="Y229" s="42" t="s">
        <v>117</v>
      </c>
      <c r="Z229" s="42">
        <v>86347.436000000002</v>
      </c>
      <c r="AA229" s="42">
        <v>2.7372999999999998</v>
      </c>
      <c r="AB229" s="42" t="s">
        <v>36</v>
      </c>
      <c r="AC229" s="42">
        <v>1</v>
      </c>
      <c r="AD229" s="42">
        <v>1</v>
      </c>
      <c r="AE229" s="42">
        <v>236358.84</v>
      </c>
    </row>
    <row r="230" spans="1:31" x14ac:dyDescent="0.2">
      <c r="A230" s="42" t="s">
        <v>917</v>
      </c>
      <c r="B230" s="42">
        <v>1</v>
      </c>
      <c r="C230" s="42" t="s">
        <v>186</v>
      </c>
      <c r="D230" s="42">
        <v>172</v>
      </c>
      <c r="E230" s="42" t="s">
        <v>396</v>
      </c>
      <c r="F230" s="42" t="s">
        <v>270</v>
      </c>
      <c r="G230" s="42">
        <v>3993</v>
      </c>
      <c r="H230" s="42" t="s">
        <v>369</v>
      </c>
      <c r="I230" s="42">
        <v>402651.79</v>
      </c>
      <c r="J230" s="42">
        <v>402651.79</v>
      </c>
      <c r="K230" s="42" t="b">
        <v>0</v>
      </c>
      <c r="L230" s="42">
        <v>5</v>
      </c>
      <c r="M230" s="42" t="s">
        <v>108</v>
      </c>
      <c r="N230" s="42">
        <v>29</v>
      </c>
      <c r="O230" s="42" t="s">
        <v>142</v>
      </c>
      <c r="P230" s="42">
        <v>3</v>
      </c>
      <c r="Q230" s="42" t="s">
        <v>325</v>
      </c>
      <c r="R230" s="42" t="s">
        <v>114</v>
      </c>
      <c r="U230" s="42" t="s">
        <v>121</v>
      </c>
      <c r="V230" s="42">
        <v>1</v>
      </c>
      <c r="W230" s="42" t="s">
        <v>116</v>
      </c>
      <c r="X230" s="42">
        <v>18</v>
      </c>
      <c r="Y230" s="42" t="s">
        <v>117</v>
      </c>
      <c r="Z230" s="42">
        <v>56866.902000000002</v>
      </c>
      <c r="AA230" s="42">
        <v>7.0805999999999996</v>
      </c>
      <c r="AB230" s="42" t="s">
        <v>36</v>
      </c>
      <c r="AC230" s="42">
        <v>1</v>
      </c>
      <c r="AD230" s="42">
        <v>1</v>
      </c>
      <c r="AE230" s="42">
        <v>402651.79</v>
      </c>
    </row>
    <row r="231" spans="1:31" x14ac:dyDescent="0.2">
      <c r="A231" s="42" t="s">
        <v>917</v>
      </c>
      <c r="B231" s="42">
        <v>1</v>
      </c>
      <c r="C231" s="42" t="s">
        <v>186</v>
      </c>
      <c r="D231" s="42">
        <v>172</v>
      </c>
      <c r="E231" s="42" t="s">
        <v>396</v>
      </c>
      <c r="F231" s="42" t="s">
        <v>607</v>
      </c>
      <c r="G231" s="42">
        <v>6065</v>
      </c>
      <c r="H231" s="42" t="s">
        <v>608</v>
      </c>
      <c r="I231" s="42">
        <v>390766.66</v>
      </c>
      <c r="J231" s="42">
        <v>390766.66</v>
      </c>
      <c r="K231" s="42" t="b">
        <v>0</v>
      </c>
      <c r="L231" s="42">
        <v>5</v>
      </c>
      <c r="M231" s="42" t="s">
        <v>108</v>
      </c>
      <c r="N231" s="42">
        <v>29</v>
      </c>
      <c r="O231" s="42" t="s">
        <v>142</v>
      </c>
      <c r="P231" s="42">
        <v>3</v>
      </c>
      <c r="Q231" s="42" t="s">
        <v>325</v>
      </c>
      <c r="R231" s="42" t="s">
        <v>114</v>
      </c>
      <c r="U231" s="42" t="s">
        <v>121</v>
      </c>
      <c r="V231" s="42">
        <v>1</v>
      </c>
      <c r="W231" s="42" t="s">
        <v>116</v>
      </c>
      <c r="X231" s="42">
        <v>18</v>
      </c>
      <c r="Y231" s="42" t="s">
        <v>117</v>
      </c>
      <c r="Z231" s="42">
        <v>1101.7508</v>
      </c>
      <c r="AA231" s="42">
        <v>354.67790000000002</v>
      </c>
      <c r="AB231" s="42" t="s">
        <v>36</v>
      </c>
      <c r="AC231" s="42">
        <v>1</v>
      </c>
      <c r="AD231" s="42">
        <v>1</v>
      </c>
      <c r="AE231" s="42">
        <v>390766.66</v>
      </c>
    </row>
    <row r="232" spans="1:31" x14ac:dyDescent="0.2">
      <c r="A232" s="42" t="s">
        <v>917</v>
      </c>
      <c r="B232" s="42">
        <v>1</v>
      </c>
      <c r="C232" s="42" t="s">
        <v>186</v>
      </c>
      <c r="D232" s="42">
        <v>172</v>
      </c>
      <c r="E232" s="42" t="s">
        <v>396</v>
      </c>
      <c r="F232" s="42" t="s">
        <v>198</v>
      </c>
      <c r="G232" s="42">
        <v>6918</v>
      </c>
      <c r="H232" s="42" t="s">
        <v>199</v>
      </c>
      <c r="I232" s="42">
        <v>321611.46000000002</v>
      </c>
      <c r="J232" s="42">
        <v>321611.46000000002</v>
      </c>
      <c r="K232" s="42" t="b">
        <v>0</v>
      </c>
      <c r="L232" s="42">
        <v>5</v>
      </c>
      <c r="M232" s="42" t="s">
        <v>108</v>
      </c>
      <c r="N232" s="42">
        <v>28</v>
      </c>
      <c r="O232" s="42" t="s">
        <v>120</v>
      </c>
      <c r="P232" s="42">
        <v>9</v>
      </c>
      <c r="Q232" s="42" t="s">
        <v>320</v>
      </c>
      <c r="R232" s="42" t="s">
        <v>114</v>
      </c>
      <c r="U232" s="42" t="s">
        <v>121</v>
      </c>
      <c r="V232" s="42">
        <v>1</v>
      </c>
      <c r="W232" s="42" t="s">
        <v>116</v>
      </c>
      <c r="X232" s="42">
        <v>18</v>
      </c>
      <c r="Y232" s="42" t="s">
        <v>117</v>
      </c>
      <c r="Z232" s="42">
        <v>185036.22589999999</v>
      </c>
      <c r="AA232" s="42">
        <v>1.7381</v>
      </c>
      <c r="AB232" s="42" t="s">
        <v>36</v>
      </c>
      <c r="AC232" s="42">
        <v>1</v>
      </c>
      <c r="AD232" s="42">
        <v>1</v>
      </c>
      <c r="AE232" s="42">
        <v>321611.46000000002</v>
      </c>
    </row>
    <row r="233" spans="1:31" x14ac:dyDescent="0.2">
      <c r="A233" s="42" t="s">
        <v>917</v>
      </c>
      <c r="B233" s="42">
        <v>1</v>
      </c>
      <c r="C233" s="42" t="s">
        <v>186</v>
      </c>
      <c r="D233" s="42">
        <v>172</v>
      </c>
      <c r="E233" s="42" t="s">
        <v>396</v>
      </c>
      <c r="F233" s="42" t="s">
        <v>271</v>
      </c>
      <c r="G233" s="42">
        <v>6986</v>
      </c>
      <c r="H233" s="42" t="s">
        <v>318</v>
      </c>
      <c r="I233" s="42">
        <v>652389.64</v>
      </c>
      <c r="J233" s="42">
        <v>652389.64</v>
      </c>
      <c r="K233" s="42" t="b">
        <v>0</v>
      </c>
      <c r="L233" s="42">
        <v>5</v>
      </c>
      <c r="M233" s="42" t="s">
        <v>108</v>
      </c>
      <c r="N233" s="42">
        <v>4</v>
      </c>
      <c r="O233" s="42" t="s">
        <v>109</v>
      </c>
      <c r="P233" s="42">
        <v>26</v>
      </c>
      <c r="Q233" s="42" t="s">
        <v>327</v>
      </c>
      <c r="R233" s="42" t="s">
        <v>114</v>
      </c>
      <c r="U233" s="42" t="s">
        <v>121</v>
      </c>
      <c r="V233" s="42">
        <v>1</v>
      </c>
      <c r="W233" s="42" t="s">
        <v>116</v>
      </c>
      <c r="X233" s="42">
        <v>18</v>
      </c>
      <c r="Y233" s="42" t="s">
        <v>117</v>
      </c>
      <c r="Z233" s="42">
        <v>228900.614</v>
      </c>
      <c r="AA233" s="42">
        <v>2.8500999999999999</v>
      </c>
      <c r="AB233" s="42" t="s">
        <v>36</v>
      </c>
      <c r="AC233" s="42">
        <v>1</v>
      </c>
      <c r="AD233" s="42">
        <v>1</v>
      </c>
      <c r="AE233" s="42">
        <v>652389.64</v>
      </c>
    </row>
    <row r="234" spans="1:31" x14ac:dyDescent="0.2">
      <c r="A234" s="42" t="s">
        <v>917</v>
      </c>
      <c r="B234" s="42">
        <v>1</v>
      </c>
      <c r="C234" s="42" t="s">
        <v>186</v>
      </c>
      <c r="D234" s="42">
        <v>172</v>
      </c>
      <c r="E234" s="42" t="s">
        <v>396</v>
      </c>
      <c r="F234" s="42" t="s">
        <v>201</v>
      </c>
      <c r="G234" s="42">
        <v>7000</v>
      </c>
      <c r="H234" s="42" t="s">
        <v>202</v>
      </c>
      <c r="I234" s="42">
        <v>804300.14</v>
      </c>
      <c r="J234" s="42">
        <v>804300.14</v>
      </c>
      <c r="K234" s="42" t="b">
        <v>0</v>
      </c>
      <c r="L234" s="42">
        <v>5</v>
      </c>
      <c r="M234" s="42" t="s">
        <v>108</v>
      </c>
      <c r="N234" s="42">
        <v>4</v>
      </c>
      <c r="O234" s="42" t="s">
        <v>109</v>
      </c>
      <c r="P234" s="42">
        <v>6</v>
      </c>
      <c r="Q234" s="42" t="s">
        <v>109</v>
      </c>
      <c r="R234" s="42" t="s">
        <v>114</v>
      </c>
      <c r="U234" s="42" t="s">
        <v>121</v>
      </c>
      <c r="V234" s="42">
        <v>1</v>
      </c>
      <c r="W234" s="42" t="s">
        <v>116</v>
      </c>
      <c r="X234" s="42">
        <v>18</v>
      </c>
      <c r="Y234" s="42" t="s">
        <v>117</v>
      </c>
      <c r="Z234" s="42">
        <v>87215.37</v>
      </c>
      <c r="AA234" s="42">
        <v>9.2219999999999995</v>
      </c>
      <c r="AB234" s="42" t="s">
        <v>36</v>
      </c>
      <c r="AC234" s="42">
        <v>1</v>
      </c>
      <c r="AD234" s="42">
        <v>1</v>
      </c>
      <c r="AE234" s="42">
        <v>804300.14</v>
      </c>
    </row>
    <row r="235" spans="1:31" x14ac:dyDescent="0.2">
      <c r="A235" s="42" t="s">
        <v>917</v>
      </c>
      <c r="B235" s="42">
        <v>1</v>
      </c>
      <c r="C235" s="42" t="s">
        <v>186</v>
      </c>
      <c r="D235" s="42">
        <v>172</v>
      </c>
      <c r="E235" s="42" t="s">
        <v>396</v>
      </c>
      <c r="F235" s="42" t="s">
        <v>626</v>
      </c>
      <c r="G235" s="42">
        <v>8832</v>
      </c>
      <c r="H235" s="42" t="s">
        <v>627</v>
      </c>
      <c r="I235" s="42">
        <v>211220.27</v>
      </c>
      <c r="J235" s="42">
        <v>211220.27</v>
      </c>
      <c r="K235" s="42" t="b">
        <v>0</v>
      </c>
      <c r="L235" s="42">
        <v>5</v>
      </c>
      <c r="M235" s="42" t="s">
        <v>108</v>
      </c>
      <c r="N235" s="42">
        <v>1</v>
      </c>
      <c r="O235" s="42" t="s">
        <v>112</v>
      </c>
      <c r="P235" s="42">
        <v>51</v>
      </c>
      <c r="Q235" s="42" t="s">
        <v>112</v>
      </c>
      <c r="R235" s="42" t="s">
        <v>114</v>
      </c>
      <c r="U235" s="42" t="s">
        <v>121</v>
      </c>
      <c r="V235" s="42">
        <v>1</v>
      </c>
      <c r="W235" s="42" t="s">
        <v>116</v>
      </c>
      <c r="X235" s="42">
        <v>18</v>
      </c>
      <c r="Y235" s="42" t="s">
        <v>117</v>
      </c>
      <c r="Z235" s="42">
        <v>171167.155</v>
      </c>
      <c r="AA235" s="42">
        <v>1.234</v>
      </c>
      <c r="AB235" s="42" t="s">
        <v>36</v>
      </c>
      <c r="AC235" s="42">
        <v>1</v>
      </c>
      <c r="AD235" s="42">
        <v>1</v>
      </c>
      <c r="AE235" s="42">
        <v>211220.27</v>
      </c>
    </row>
    <row r="236" spans="1:31" x14ac:dyDescent="0.2">
      <c r="A236" s="42" t="s">
        <v>917</v>
      </c>
      <c r="B236" s="42">
        <v>1</v>
      </c>
      <c r="C236" s="42" t="s">
        <v>186</v>
      </c>
      <c r="D236" s="42">
        <v>172</v>
      </c>
      <c r="E236" s="42" t="s">
        <v>396</v>
      </c>
      <c r="F236" s="42" t="s">
        <v>628</v>
      </c>
      <c r="G236" s="42">
        <v>8833</v>
      </c>
      <c r="H236" s="42" t="s">
        <v>629</v>
      </c>
      <c r="I236" s="42">
        <v>376736.26</v>
      </c>
      <c r="J236" s="42">
        <v>376736.26</v>
      </c>
      <c r="K236" s="42" t="b">
        <v>0</v>
      </c>
      <c r="L236" s="42">
        <v>5</v>
      </c>
      <c r="M236" s="42" t="s">
        <v>108</v>
      </c>
      <c r="N236" s="42">
        <v>20</v>
      </c>
      <c r="O236" s="42" t="s">
        <v>155</v>
      </c>
      <c r="P236" s="42">
        <v>227</v>
      </c>
      <c r="Q236" s="42" t="s">
        <v>338</v>
      </c>
      <c r="R236" s="42" t="s">
        <v>114</v>
      </c>
      <c r="U236" s="42" t="s">
        <v>121</v>
      </c>
      <c r="V236" s="42">
        <v>1</v>
      </c>
      <c r="W236" s="42" t="s">
        <v>116</v>
      </c>
      <c r="X236" s="42">
        <v>18</v>
      </c>
      <c r="Y236" s="42" t="s">
        <v>117</v>
      </c>
      <c r="Z236" s="42">
        <v>85447.1</v>
      </c>
      <c r="AA236" s="42">
        <v>4.4089999999999998</v>
      </c>
      <c r="AB236" s="42" t="s">
        <v>36</v>
      </c>
      <c r="AC236" s="42">
        <v>1</v>
      </c>
      <c r="AD236" s="42">
        <v>1</v>
      </c>
      <c r="AE236" s="42">
        <v>376736.26</v>
      </c>
    </row>
    <row r="237" spans="1:31" x14ac:dyDescent="0.2">
      <c r="A237" s="42" t="s">
        <v>917</v>
      </c>
      <c r="B237" s="42">
        <v>1</v>
      </c>
      <c r="C237" s="42" t="s">
        <v>186</v>
      </c>
      <c r="D237" s="42">
        <v>172</v>
      </c>
      <c r="E237" s="42" t="s">
        <v>396</v>
      </c>
      <c r="F237" s="42" t="s">
        <v>632</v>
      </c>
      <c r="G237" s="42">
        <v>8834</v>
      </c>
      <c r="H237" s="42" t="s">
        <v>633</v>
      </c>
      <c r="I237" s="42">
        <v>197339.33</v>
      </c>
      <c r="J237" s="42">
        <v>197339.33</v>
      </c>
      <c r="K237" s="42" t="b">
        <v>0</v>
      </c>
      <c r="L237" s="42">
        <v>5</v>
      </c>
      <c r="M237" s="42" t="s">
        <v>108</v>
      </c>
      <c r="N237" s="42">
        <v>1</v>
      </c>
      <c r="O237" s="42" t="s">
        <v>112</v>
      </c>
      <c r="P237" s="42">
        <v>51</v>
      </c>
      <c r="Q237" s="42" t="s">
        <v>112</v>
      </c>
      <c r="R237" s="42" t="s">
        <v>114</v>
      </c>
      <c r="U237" s="42" t="s">
        <v>121</v>
      </c>
      <c r="V237" s="42">
        <v>1</v>
      </c>
      <c r="W237" s="42" t="s">
        <v>116</v>
      </c>
      <c r="X237" s="42">
        <v>18</v>
      </c>
      <c r="Y237" s="42" t="s">
        <v>117</v>
      </c>
      <c r="Z237" s="42">
        <v>186874.36799999999</v>
      </c>
      <c r="AA237" s="42">
        <v>1.056</v>
      </c>
      <c r="AB237" s="42" t="s">
        <v>36</v>
      </c>
      <c r="AC237" s="42">
        <v>1</v>
      </c>
      <c r="AD237" s="42">
        <v>1</v>
      </c>
      <c r="AE237" s="42">
        <v>197339.33</v>
      </c>
    </row>
    <row r="238" spans="1:31" x14ac:dyDescent="0.2">
      <c r="A238" s="42" t="s">
        <v>917</v>
      </c>
      <c r="B238" s="42">
        <v>1</v>
      </c>
      <c r="C238" s="42" t="s">
        <v>186</v>
      </c>
      <c r="D238" s="42">
        <v>172</v>
      </c>
      <c r="E238" s="42" t="s">
        <v>396</v>
      </c>
      <c r="F238" s="42" t="s">
        <v>292</v>
      </c>
      <c r="G238" s="42">
        <v>9306</v>
      </c>
      <c r="H238" s="42" t="s">
        <v>293</v>
      </c>
      <c r="I238" s="42">
        <v>339803.86</v>
      </c>
      <c r="J238" s="42">
        <v>339803.86</v>
      </c>
      <c r="K238" s="42" t="b">
        <v>0</v>
      </c>
      <c r="L238" s="42">
        <v>5</v>
      </c>
      <c r="M238" s="42" t="s">
        <v>108</v>
      </c>
      <c r="N238" s="42">
        <v>27</v>
      </c>
      <c r="O238" s="42" t="s">
        <v>129</v>
      </c>
      <c r="P238" s="42">
        <v>10</v>
      </c>
      <c r="Q238" s="42" t="s">
        <v>129</v>
      </c>
      <c r="R238" s="42" t="s">
        <v>114</v>
      </c>
      <c r="U238" s="42" t="s">
        <v>121</v>
      </c>
      <c r="V238" s="42">
        <v>1</v>
      </c>
      <c r="W238" s="42" t="s">
        <v>116</v>
      </c>
      <c r="X238" s="42">
        <v>18</v>
      </c>
      <c r="Y238" s="42" t="s">
        <v>117</v>
      </c>
      <c r="Z238" s="42">
        <v>128107.01700000001</v>
      </c>
      <c r="AA238" s="42">
        <v>2.6524999999999999</v>
      </c>
      <c r="AB238" s="42" t="s">
        <v>36</v>
      </c>
      <c r="AC238" s="42">
        <v>1</v>
      </c>
      <c r="AD238" s="42">
        <v>1</v>
      </c>
      <c r="AE238" s="42">
        <v>339803.86</v>
      </c>
    </row>
    <row r="239" spans="1:31" x14ac:dyDescent="0.2">
      <c r="A239" s="42" t="s">
        <v>917</v>
      </c>
      <c r="B239" s="42">
        <v>1</v>
      </c>
      <c r="C239" s="42" t="s">
        <v>186</v>
      </c>
      <c r="D239" s="42">
        <v>172</v>
      </c>
      <c r="E239" s="42" t="s">
        <v>396</v>
      </c>
      <c r="F239" s="42" t="s">
        <v>630</v>
      </c>
      <c r="G239" s="42">
        <v>9357</v>
      </c>
      <c r="H239" s="42" t="s">
        <v>631</v>
      </c>
      <c r="I239" s="42">
        <v>457761.6</v>
      </c>
      <c r="J239" s="42">
        <v>459140.4</v>
      </c>
      <c r="K239" s="42" t="b">
        <v>1</v>
      </c>
      <c r="L239" s="42">
        <v>5</v>
      </c>
      <c r="M239" s="42" t="s">
        <v>108</v>
      </c>
      <c r="N239" s="42">
        <v>2</v>
      </c>
      <c r="O239" s="42" t="s">
        <v>122</v>
      </c>
      <c r="P239" s="42">
        <v>23</v>
      </c>
      <c r="Q239" s="42" t="s">
        <v>328</v>
      </c>
      <c r="R239" s="42" t="s">
        <v>204</v>
      </c>
      <c r="S239" s="42">
        <v>1</v>
      </c>
      <c r="T239" s="42" t="s">
        <v>205</v>
      </c>
      <c r="U239" s="42" t="s">
        <v>121</v>
      </c>
      <c r="V239" s="42">
        <v>9</v>
      </c>
      <c r="W239" s="42" t="s">
        <v>206</v>
      </c>
      <c r="X239" s="42">
        <v>4</v>
      </c>
      <c r="Y239" s="42" t="s">
        <v>230</v>
      </c>
      <c r="Z239" s="42">
        <v>34470</v>
      </c>
      <c r="AA239" s="42">
        <v>13.32</v>
      </c>
      <c r="AB239" s="42" t="s">
        <v>36</v>
      </c>
      <c r="AC239" s="42">
        <v>1</v>
      </c>
      <c r="AD239" s="42">
        <v>1</v>
      </c>
      <c r="AE239" s="42">
        <v>459140.4</v>
      </c>
    </row>
    <row r="240" spans="1:31" x14ac:dyDescent="0.2">
      <c r="A240" s="42" t="s">
        <v>917</v>
      </c>
      <c r="B240" s="42">
        <v>1</v>
      </c>
      <c r="C240" s="42" t="s">
        <v>186</v>
      </c>
      <c r="D240" s="42">
        <v>172</v>
      </c>
      <c r="E240" s="42" t="s">
        <v>396</v>
      </c>
      <c r="F240" s="42" t="s">
        <v>362</v>
      </c>
      <c r="G240" s="42">
        <v>10019</v>
      </c>
      <c r="H240" s="42" t="s">
        <v>363</v>
      </c>
      <c r="I240" s="42">
        <v>1014243.66</v>
      </c>
      <c r="J240" s="42">
        <v>1014316.55</v>
      </c>
      <c r="K240" s="42" t="b">
        <v>1</v>
      </c>
      <c r="L240" s="42">
        <v>5</v>
      </c>
      <c r="M240" s="42" t="s">
        <v>108</v>
      </c>
      <c r="N240" s="42">
        <v>4</v>
      </c>
      <c r="O240" s="42" t="s">
        <v>109</v>
      </c>
      <c r="P240" s="42">
        <v>6</v>
      </c>
      <c r="Q240" s="42" t="s">
        <v>109</v>
      </c>
      <c r="R240" s="42" t="s">
        <v>243</v>
      </c>
      <c r="S240" s="42">
        <v>1</v>
      </c>
      <c r="T240" s="42" t="s">
        <v>205</v>
      </c>
      <c r="U240" s="42" t="s">
        <v>115</v>
      </c>
      <c r="V240" s="42">
        <v>1</v>
      </c>
      <c r="W240" s="42" t="s">
        <v>116</v>
      </c>
      <c r="X240" s="42">
        <v>22</v>
      </c>
      <c r="Y240" s="42" t="s">
        <v>217</v>
      </c>
      <c r="Z240" s="42">
        <v>16734</v>
      </c>
      <c r="AA240" s="42">
        <v>69.584999999999994</v>
      </c>
      <c r="AB240" s="42" t="s">
        <v>34</v>
      </c>
      <c r="AC240" s="42">
        <v>1.1479999999999999</v>
      </c>
      <c r="AD240" s="42">
        <v>1</v>
      </c>
      <c r="AE240" s="42">
        <v>1014316.54</v>
      </c>
    </row>
    <row r="241" spans="1:31" x14ac:dyDescent="0.2">
      <c r="A241" s="42" t="s">
        <v>917</v>
      </c>
      <c r="B241" s="42">
        <v>1</v>
      </c>
      <c r="C241" s="42" t="s">
        <v>186</v>
      </c>
      <c r="D241" s="42">
        <v>172</v>
      </c>
      <c r="E241" s="42" t="s">
        <v>396</v>
      </c>
      <c r="F241" s="42" t="s">
        <v>344</v>
      </c>
      <c r="G241" s="42">
        <v>10176</v>
      </c>
      <c r="H241" s="42" t="s">
        <v>345</v>
      </c>
      <c r="I241" s="42">
        <v>185123.89</v>
      </c>
      <c r="J241" s="42">
        <v>185123.89</v>
      </c>
      <c r="K241" s="42" t="b">
        <v>0</v>
      </c>
      <c r="L241" s="42">
        <v>5</v>
      </c>
      <c r="M241" s="42" t="s">
        <v>108</v>
      </c>
      <c r="N241" s="42">
        <v>2</v>
      </c>
      <c r="O241" s="42" t="s">
        <v>122</v>
      </c>
      <c r="P241" s="42">
        <v>2</v>
      </c>
      <c r="Q241" s="42" t="s">
        <v>322</v>
      </c>
      <c r="R241" s="42" t="s">
        <v>114</v>
      </c>
      <c r="U241" s="42" t="s">
        <v>121</v>
      </c>
      <c r="V241" s="42">
        <v>1</v>
      </c>
      <c r="W241" s="42" t="s">
        <v>116</v>
      </c>
      <c r="X241" s="42">
        <v>18</v>
      </c>
      <c r="Y241" s="42" t="s">
        <v>117</v>
      </c>
      <c r="Z241" s="42">
        <v>161019.29999999999</v>
      </c>
      <c r="AA241" s="42">
        <v>1.1496999999999999</v>
      </c>
      <c r="AB241" s="42" t="s">
        <v>36</v>
      </c>
      <c r="AC241" s="42">
        <v>1</v>
      </c>
      <c r="AD241" s="42">
        <v>1</v>
      </c>
      <c r="AE241" s="42">
        <v>185123.89</v>
      </c>
    </row>
    <row r="242" spans="1:31" x14ac:dyDescent="0.2">
      <c r="A242" s="42" t="s">
        <v>917</v>
      </c>
      <c r="B242" s="42">
        <v>1</v>
      </c>
      <c r="C242" s="42" t="s">
        <v>634</v>
      </c>
      <c r="D242" s="42">
        <v>176</v>
      </c>
      <c r="E242" s="42" t="s">
        <v>635</v>
      </c>
      <c r="F242" s="42" t="s">
        <v>636</v>
      </c>
      <c r="G242" s="42">
        <v>2504</v>
      </c>
      <c r="H242" s="42" t="s">
        <v>637</v>
      </c>
      <c r="I242" s="42">
        <v>389.21</v>
      </c>
      <c r="J242" s="42">
        <v>389.21</v>
      </c>
      <c r="K242" s="42" t="b">
        <v>0</v>
      </c>
      <c r="L242" s="42">
        <v>11</v>
      </c>
      <c r="M242" s="42" t="s">
        <v>238</v>
      </c>
      <c r="N242" s="42">
        <v>1</v>
      </c>
      <c r="O242" s="42" t="s">
        <v>112</v>
      </c>
      <c r="P242" s="42">
        <v>40</v>
      </c>
      <c r="Q242" s="42" t="s">
        <v>638</v>
      </c>
      <c r="R242" s="42" t="s">
        <v>114</v>
      </c>
      <c r="U242" s="42" t="s">
        <v>121</v>
      </c>
      <c r="V242" s="42">
        <v>1</v>
      </c>
      <c r="W242" s="42" t="s">
        <v>116</v>
      </c>
      <c r="X242" s="42">
        <v>18</v>
      </c>
      <c r="Y242" s="42" t="s">
        <v>117</v>
      </c>
      <c r="Z242" s="42">
        <v>100</v>
      </c>
      <c r="AA242" s="42">
        <v>3.8921000000000001</v>
      </c>
      <c r="AB242" s="42" t="s">
        <v>36</v>
      </c>
      <c r="AC242" s="42">
        <v>1</v>
      </c>
      <c r="AD242" s="42">
        <v>1</v>
      </c>
      <c r="AE242" s="42">
        <v>389.21</v>
      </c>
    </row>
    <row r="243" spans="1:31" x14ac:dyDescent="0.2">
      <c r="A243" s="42" t="s">
        <v>917</v>
      </c>
      <c r="B243" s="42">
        <v>1</v>
      </c>
      <c r="C243" s="42" t="s">
        <v>634</v>
      </c>
      <c r="D243" s="42">
        <v>176</v>
      </c>
      <c r="E243" s="42" t="s">
        <v>635</v>
      </c>
      <c r="F243" s="42" t="s">
        <v>639</v>
      </c>
      <c r="G243" s="42">
        <v>2627</v>
      </c>
      <c r="H243" s="42" t="s">
        <v>640</v>
      </c>
      <c r="I243" s="42">
        <v>276.81</v>
      </c>
      <c r="J243" s="42">
        <v>277.06</v>
      </c>
      <c r="K243" s="42" t="b">
        <v>0</v>
      </c>
      <c r="L243" s="42">
        <v>5</v>
      </c>
      <c r="M243" s="42" t="s">
        <v>108</v>
      </c>
      <c r="N243" s="42">
        <v>29</v>
      </c>
      <c r="O243" s="42" t="s">
        <v>142</v>
      </c>
      <c r="P243" s="42">
        <v>3</v>
      </c>
      <c r="Q243" s="42" t="s">
        <v>325</v>
      </c>
      <c r="R243" s="42" t="s">
        <v>114</v>
      </c>
      <c r="U243" s="42" t="s">
        <v>121</v>
      </c>
      <c r="V243" s="42">
        <v>1</v>
      </c>
      <c r="W243" s="42" t="s">
        <v>116</v>
      </c>
      <c r="X243" s="42">
        <v>18</v>
      </c>
      <c r="Y243" s="42" t="s">
        <v>117</v>
      </c>
      <c r="Z243" s="42">
        <v>100</v>
      </c>
      <c r="AA243" s="42">
        <v>2.7706</v>
      </c>
      <c r="AB243" s="42" t="s">
        <v>36</v>
      </c>
      <c r="AC243" s="42">
        <v>1</v>
      </c>
      <c r="AD243" s="42">
        <v>1</v>
      </c>
      <c r="AE243" s="42">
        <v>277.06</v>
      </c>
    </row>
    <row r="244" spans="1:31" x14ac:dyDescent="0.2">
      <c r="A244" s="42" t="s">
        <v>917</v>
      </c>
      <c r="B244" s="42">
        <v>1</v>
      </c>
      <c r="C244" s="42" t="s">
        <v>634</v>
      </c>
      <c r="D244" s="42">
        <v>176</v>
      </c>
      <c r="E244" s="42" t="s">
        <v>635</v>
      </c>
      <c r="F244" s="42" t="s">
        <v>207</v>
      </c>
      <c r="G244" s="42">
        <v>2898</v>
      </c>
      <c r="H244" s="42" t="s">
        <v>208</v>
      </c>
      <c r="I244" s="42">
        <v>70.63</v>
      </c>
      <c r="J244" s="42">
        <v>70.63</v>
      </c>
      <c r="K244" s="42" t="b">
        <v>0</v>
      </c>
      <c r="L244" s="42">
        <v>14</v>
      </c>
      <c r="M244" s="42" t="s">
        <v>331</v>
      </c>
      <c r="N244" s="42">
        <v>1</v>
      </c>
      <c r="O244" s="42" t="s">
        <v>112</v>
      </c>
      <c r="P244" s="42">
        <v>22</v>
      </c>
      <c r="Q244" s="42" t="s">
        <v>209</v>
      </c>
      <c r="R244" s="42" t="s">
        <v>114</v>
      </c>
      <c r="U244" s="42" t="s">
        <v>121</v>
      </c>
      <c r="V244" s="42">
        <v>1</v>
      </c>
      <c r="W244" s="42" t="s">
        <v>116</v>
      </c>
      <c r="X244" s="42">
        <v>18</v>
      </c>
      <c r="Y244" s="42" t="s">
        <v>117</v>
      </c>
      <c r="Z244" s="42">
        <v>100</v>
      </c>
      <c r="AA244" s="42">
        <v>0.70630000000000004</v>
      </c>
      <c r="AB244" s="42" t="s">
        <v>36</v>
      </c>
      <c r="AC244" s="42">
        <v>1</v>
      </c>
      <c r="AD244" s="42">
        <v>1</v>
      </c>
      <c r="AE244" s="42">
        <v>70.63</v>
      </c>
    </row>
    <row r="245" spans="1:31" x14ac:dyDescent="0.2">
      <c r="A245" s="42" t="s">
        <v>917</v>
      </c>
      <c r="B245" s="42">
        <v>1</v>
      </c>
      <c r="C245" s="42" t="s">
        <v>634</v>
      </c>
      <c r="D245" s="42">
        <v>176</v>
      </c>
      <c r="E245" s="42" t="s">
        <v>635</v>
      </c>
      <c r="F245" s="42" t="s">
        <v>641</v>
      </c>
      <c r="G245" s="42">
        <v>2940</v>
      </c>
      <c r="H245" s="42" t="s">
        <v>642</v>
      </c>
      <c r="I245" s="42">
        <v>914327.07</v>
      </c>
      <c r="J245" s="42">
        <v>914327.07</v>
      </c>
      <c r="K245" s="42" t="b">
        <v>0</v>
      </c>
      <c r="L245" s="42">
        <v>5</v>
      </c>
      <c r="M245" s="42" t="s">
        <v>108</v>
      </c>
      <c r="N245" s="42">
        <v>4</v>
      </c>
      <c r="O245" s="42" t="s">
        <v>109</v>
      </c>
      <c r="P245" s="42">
        <v>6</v>
      </c>
      <c r="Q245" s="42" t="s">
        <v>109</v>
      </c>
      <c r="R245" s="42" t="s">
        <v>114</v>
      </c>
      <c r="U245" s="42" t="s">
        <v>121</v>
      </c>
      <c r="V245" s="42">
        <v>1</v>
      </c>
      <c r="W245" s="42" t="s">
        <v>116</v>
      </c>
      <c r="X245" s="42">
        <v>18</v>
      </c>
      <c r="Y245" s="42" t="s">
        <v>117</v>
      </c>
      <c r="Z245" s="42">
        <v>277119.19300000003</v>
      </c>
      <c r="AA245" s="42">
        <v>3.2993999999999999</v>
      </c>
      <c r="AB245" s="42" t="s">
        <v>36</v>
      </c>
      <c r="AC245" s="42">
        <v>1</v>
      </c>
      <c r="AD245" s="42">
        <v>1</v>
      </c>
      <c r="AE245" s="42">
        <v>914327.07</v>
      </c>
    </row>
    <row r="246" spans="1:31" x14ac:dyDescent="0.2">
      <c r="A246" s="42" t="s">
        <v>917</v>
      </c>
      <c r="B246" s="42">
        <v>1</v>
      </c>
      <c r="C246" s="42" t="s">
        <v>634</v>
      </c>
      <c r="D246" s="42">
        <v>176</v>
      </c>
      <c r="E246" s="42" t="s">
        <v>635</v>
      </c>
      <c r="F246" s="42" t="s">
        <v>643</v>
      </c>
      <c r="G246" s="42">
        <v>4211</v>
      </c>
      <c r="H246" s="42" t="s">
        <v>644</v>
      </c>
      <c r="I246" s="42">
        <v>175.1</v>
      </c>
      <c r="J246" s="42">
        <v>175.1</v>
      </c>
      <c r="K246" s="42" t="b">
        <v>0</v>
      </c>
      <c r="L246" s="42">
        <v>11</v>
      </c>
      <c r="M246" s="42" t="s">
        <v>238</v>
      </c>
      <c r="N246" s="42">
        <v>1</v>
      </c>
      <c r="O246" s="42" t="s">
        <v>112</v>
      </c>
      <c r="P246" s="42">
        <v>63</v>
      </c>
      <c r="Q246" s="42" t="s">
        <v>324</v>
      </c>
      <c r="R246" s="42" t="s">
        <v>114</v>
      </c>
      <c r="U246" s="42" t="s">
        <v>121</v>
      </c>
      <c r="V246" s="42">
        <v>1</v>
      </c>
      <c r="W246" s="42" t="s">
        <v>116</v>
      </c>
      <c r="X246" s="42">
        <v>18</v>
      </c>
      <c r="Y246" s="42" t="s">
        <v>117</v>
      </c>
      <c r="Z246" s="42">
        <v>100</v>
      </c>
      <c r="AA246" s="42">
        <v>1.7509999999999999</v>
      </c>
      <c r="AB246" s="42" t="s">
        <v>36</v>
      </c>
      <c r="AC246" s="42">
        <v>1</v>
      </c>
      <c r="AD246" s="42">
        <v>1</v>
      </c>
      <c r="AE246" s="42">
        <v>175.1</v>
      </c>
    </row>
    <row r="247" spans="1:31" x14ac:dyDescent="0.2">
      <c r="A247" s="42" t="s">
        <v>917</v>
      </c>
      <c r="B247" s="42">
        <v>1</v>
      </c>
      <c r="C247" s="42" t="s">
        <v>634</v>
      </c>
      <c r="D247" s="42">
        <v>176</v>
      </c>
      <c r="E247" s="42" t="s">
        <v>635</v>
      </c>
      <c r="F247" s="42" t="s">
        <v>645</v>
      </c>
      <c r="G247" s="42">
        <v>5840</v>
      </c>
      <c r="H247" s="42" t="s">
        <v>646</v>
      </c>
      <c r="I247" s="42">
        <v>1514054.95</v>
      </c>
      <c r="J247" s="42">
        <v>1514054.95</v>
      </c>
      <c r="K247" s="42" t="b">
        <v>0</v>
      </c>
      <c r="L247" s="42">
        <v>5</v>
      </c>
      <c r="M247" s="42" t="s">
        <v>108</v>
      </c>
      <c r="N247" s="42">
        <v>2</v>
      </c>
      <c r="O247" s="42" t="s">
        <v>122</v>
      </c>
      <c r="P247" s="42">
        <v>2</v>
      </c>
      <c r="Q247" s="42" t="s">
        <v>322</v>
      </c>
      <c r="R247" s="42" t="s">
        <v>114</v>
      </c>
      <c r="U247" s="42" t="s">
        <v>121</v>
      </c>
      <c r="V247" s="42">
        <v>1</v>
      </c>
      <c r="W247" s="42" t="s">
        <v>116</v>
      </c>
      <c r="X247" s="42">
        <v>18</v>
      </c>
      <c r="Y247" s="42" t="s">
        <v>117</v>
      </c>
      <c r="Z247" s="42">
        <v>148259.43</v>
      </c>
      <c r="AA247" s="42">
        <v>10.212199999999999</v>
      </c>
      <c r="AB247" s="42" t="s">
        <v>36</v>
      </c>
      <c r="AC247" s="42">
        <v>1</v>
      </c>
      <c r="AD247" s="42">
        <v>1</v>
      </c>
      <c r="AE247" s="42">
        <v>1514054.95</v>
      </c>
    </row>
    <row r="248" spans="1:31" x14ac:dyDescent="0.2">
      <c r="A248" s="42" t="s">
        <v>917</v>
      </c>
      <c r="B248" s="42">
        <v>1</v>
      </c>
      <c r="C248" s="42" t="s">
        <v>634</v>
      </c>
      <c r="D248" s="42">
        <v>176</v>
      </c>
      <c r="E248" s="42" t="s">
        <v>635</v>
      </c>
      <c r="F248" s="42" t="s">
        <v>647</v>
      </c>
      <c r="G248" s="42">
        <v>6887</v>
      </c>
      <c r="H248" s="42" t="s">
        <v>648</v>
      </c>
      <c r="I248" s="42">
        <v>104.1</v>
      </c>
      <c r="J248" s="42">
        <v>104.35</v>
      </c>
      <c r="K248" s="42" t="b">
        <v>1</v>
      </c>
      <c r="L248" s="42">
        <v>3</v>
      </c>
      <c r="M248" s="42" t="s">
        <v>209</v>
      </c>
      <c r="N248" s="42">
        <v>2</v>
      </c>
      <c r="O248" s="42" t="s">
        <v>122</v>
      </c>
      <c r="P248" s="42">
        <v>180</v>
      </c>
      <c r="Q248" s="42" t="s">
        <v>214</v>
      </c>
      <c r="R248" s="42" t="s">
        <v>204</v>
      </c>
      <c r="S248" s="42">
        <v>1</v>
      </c>
      <c r="T248" s="42" t="s">
        <v>205</v>
      </c>
      <c r="U248" s="42" t="s">
        <v>121</v>
      </c>
      <c r="V248" s="42">
        <v>9</v>
      </c>
      <c r="W248" s="42" t="s">
        <v>206</v>
      </c>
      <c r="X248" s="42">
        <v>25</v>
      </c>
      <c r="Y248" s="42" t="s">
        <v>227</v>
      </c>
      <c r="Z248" s="42">
        <v>100</v>
      </c>
      <c r="AA248" s="42">
        <v>1.0435000000000001</v>
      </c>
      <c r="AB248" s="42" t="s">
        <v>36</v>
      </c>
      <c r="AC248" s="42">
        <v>1</v>
      </c>
      <c r="AD248" s="42">
        <v>1</v>
      </c>
      <c r="AE248" s="42">
        <v>104.35</v>
      </c>
    </row>
    <row r="249" spans="1:31" x14ac:dyDescent="0.2">
      <c r="A249" s="42" t="s">
        <v>917</v>
      </c>
      <c r="B249" s="42">
        <v>1</v>
      </c>
      <c r="C249" s="42" t="s">
        <v>634</v>
      </c>
      <c r="D249" s="42">
        <v>176</v>
      </c>
      <c r="E249" s="42" t="s">
        <v>635</v>
      </c>
      <c r="F249" s="42" t="s">
        <v>649</v>
      </c>
      <c r="G249" s="42">
        <v>6895</v>
      </c>
      <c r="H249" s="42" t="s">
        <v>650</v>
      </c>
      <c r="I249" s="42">
        <v>12752</v>
      </c>
      <c r="J249" s="42">
        <v>12752</v>
      </c>
      <c r="K249" s="42" t="b">
        <v>0</v>
      </c>
      <c r="L249" s="42">
        <v>2</v>
      </c>
      <c r="M249" s="42" t="s">
        <v>248</v>
      </c>
      <c r="N249" s="42">
        <v>1</v>
      </c>
      <c r="O249" s="42" t="s">
        <v>112</v>
      </c>
      <c r="P249" s="42">
        <v>63</v>
      </c>
      <c r="Q249" s="42" t="s">
        <v>324</v>
      </c>
      <c r="R249" s="42" t="s">
        <v>114</v>
      </c>
      <c r="U249" s="42" t="s">
        <v>115</v>
      </c>
      <c r="V249" s="42">
        <v>1</v>
      </c>
      <c r="W249" s="42" t="s">
        <v>116</v>
      </c>
      <c r="X249" s="42">
        <v>18</v>
      </c>
      <c r="Y249" s="42" t="s">
        <v>117</v>
      </c>
      <c r="Z249" s="42">
        <v>100</v>
      </c>
      <c r="AA249" s="42">
        <v>127.52</v>
      </c>
      <c r="AB249" s="42" t="s">
        <v>36</v>
      </c>
      <c r="AC249" s="42">
        <v>1</v>
      </c>
      <c r="AD249" s="42">
        <v>1</v>
      </c>
      <c r="AE249" s="42">
        <v>12752</v>
      </c>
    </row>
    <row r="250" spans="1:31" x14ac:dyDescent="0.2">
      <c r="A250" s="42" t="s">
        <v>917</v>
      </c>
      <c r="B250" s="42">
        <v>1</v>
      </c>
      <c r="C250" s="42" t="s">
        <v>634</v>
      </c>
      <c r="D250" s="42">
        <v>176</v>
      </c>
      <c r="E250" s="42" t="s">
        <v>635</v>
      </c>
      <c r="F250" s="42" t="s">
        <v>263</v>
      </c>
      <c r="G250" s="42">
        <v>6959</v>
      </c>
      <c r="H250" s="42" t="s">
        <v>264</v>
      </c>
      <c r="I250" s="42">
        <v>183.19</v>
      </c>
      <c r="J250" s="42">
        <v>183.19</v>
      </c>
      <c r="K250" s="42" t="b">
        <v>0</v>
      </c>
      <c r="L250" s="42">
        <v>2</v>
      </c>
      <c r="M250" s="42" t="s">
        <v>248</v>
      </c>
      <c r="N250" s="42">
        <v>1</v>
      </c>
      <c r="O250" s="42" t="s">
        <v>112</v>
      </c>
      <c r="P250" s="42">
        <v>63</v>
      </c>
      <c r="Q250" s="42" t="s">
        <v>324</v>
      </c>
      <c r="R250" s="42" t="s">
        <v>114</v>
      </c>
      <c r="U250" s="42" t="s">
        <v>115</v>
      </c>
      <c r="V250" s="42">
        <v>1</v>
      </c>
      <c r="W250" s="42" t="s">
        <v>116</v>
      </c>
      <c r="X250" s="42">
        <v>18</v>
      </c>
      <c r="Y250" s="42" t="s">
        <v>117</v>
      </c>
      <c r="Z250" s="42">
        <v>100</v>
      </c>
      <c r="AA250" s="42">
        <v>1.8319000000000001</v>
      </c>
      <c r="AB250" s="42" t="s">
        <v>36</v>
      </c>
      <c r="AC250" s="42">
        <v>1</v>
      </c>
      <c r="AD250" s="42">
        <v>1</v>
      </c>
      <c r="AE250" s="42">
        <v>183.19</v>
      </c>
    </row>
    <row r="251" spans="1:31" x14ac:dyDescent="0.2">
      <c r="A251" s="42" t="s">
        <v>917</v>
      </c>
      <c r="B251" s="42">
        <v>1</v>
      </c>
      <c r="C251" s="42" t="s">
        <v>634</v>
      </c>
      <c r="D251" s="42">
        <v>176</v>
      </c>
      <c r="E251" s="42" t="s">
        <v>635</v>
      </c>
      <c r="F251" s="42" t="s">
        <v>257</v>
      </c>
      <c r="G251" s="42">
        <v>7296</v>
      </c>
      <c r="H251" s="42" t="s">
        <v>258</v>
      </c>
      <c r="I251" s="42">
        <v>143.6</v>
      </c>
      <c r="J251" s="42">
        <v>144.19999999999999</v>
      </c>
      <c r="K251" s="42" t="b">
        <v>1</v>
      </c>
      <c r="L251" s="42">
        <v>5</v>
      </c>
      <c r="M251" s="42" t="s">
        <v>108</v>
      </c>
      <c r="N251" s="42">
        <v>2</v>
      </c>
      <c r="O251" s="42" t="s">
        <v>122</v>
      </c>
      <c r="P251" s="42">
        <v>22</v>
      </c>
      <c r="Q251" s="42" t="s">
        <v>209</v>
      </c>
      <c r="R251" s="42" t="s">
        <v>204</v>
      </c>
      <c r="S251" s="42">
        <v>1</v>
      </c>
      <c r="T251" s="42" t="s">
        <v>205</v>
      </c>
      <c r="U251" s="42" t="s">
        <v>229</v>
      </c>
      <c r="V251" s="42">
        <v>9</v>
      </c>
      <c r="W251" s="42" t="s">
        <v>206</v>
      </c>
      <c r="X251" s="42">
        <v>4</v>
      </c>
      <c r="Y251" s="42" t="s">
        <v>230</v>
      </c>
      <c r="Z251" s="42">
        <v>100</v>
      </c>
      <c r="AA251" s="42">
        <v>1.4419999999999999</v>
      </c>
      <c r="AB251" s="42" t="s">
        <v>36</v>
      </c>
      <c r="AC251" s="42">
        <v>1</v>
      </c>
      <c r="AD251" s="42">
        <v>1</v>
      </c>
      <c r="AE251" s="42">
        <v>144.19999999999999</v>
      </c>
    </row>
    <row r="252" spans="1:31" x14ac:dyDescent="0.2">
      <c r="A252" s="42" t="s">
        <v>917</v>
      </c>
      <c r="B252" s="42">
        <v>1</v>
      </c>
      <c r="C252" s="42" t="s">
        <v>634</v>
      </c>
      <c r="D252" s="42">
        <v>176</v>
      </c>
      <c r="E252" s="42" t="s">
        <v>635</v>
      </c>
      <c r="F252" s="42" t="s">
        <v>255</v>
      </c>
      <c r="G252" s="42">
        <v>7297</v>
      </c>
      <c r="H252" s="42" t="s">
        <v>256</v>
      </c>
      <c r="I252" s="42">
        <v>158.69999999999999</v>
      </c>
      <c r="J252" s="42">
        <v>158.9</v>
      </c>
      <c r="K252" s="42" t="b">
        <v>1</v>
      </c>
      <c r="L252" s="42">
        <v>5</v>
      </c>
      <c r="M252" s="42" t="s">
        <v>108</v>
      </c>
      <c r="N252" s="42">
        <v>2</v>
      </c>
      <c r="O252" s="42" t="s">
        <v>122</v>
      </c>
      <c r="P252" s="42">
        <v>80</v>
      </c>
      <c r="Q252" s="42" t="s">
        <v>213</v>
      </c>
      <c r="R252" s="42" t="s">
        <v>204</v>
      </c>
      <c r="S252" s="42">
        <v>1</v>
      </c>
      <c r="T252" s="42" t="s">
        <v>205</v>
      </c>
      <c r="U252" s="42" t="s">
        <v>121</v>
      </c>
      <c r="V252" s="42">
        <v>9</v>
      </c>
      <c r="W252" s="42" t="s">
        <v>206</v>
      </c>
      <c r="X252" s="42">
        <v>4</v>
      </c>
      <c r="Y252" s="42" t="s">
        <v>230</v>
      </c>
      <c r="Z252" s="42">
        <v>100</v>
      </c>
      <c r="AA252" s="42">
        <v>1.589</v>
      </c>
      <c r="AB252" s="42" t="s">
        <v>36</v>
      </c>
      <c r="AC252" s="42">
        <v>1</v>
      </c>
      <c r="AD252" s="42">
        <v>1</v>
      </c>
      <c r="AE252" s="42">
        <v>158.9</v>
      </c>
    </row>
    <row r="253" spans="1:31" x14ac:dyDescent="0.2">
      <c r="A253" s="42" t="s">
        <v>917</v>
      </c>
      <c r="B253" s="42">
        <v>1</v>
      </c>
      <c r="C253" s="42" t="s">
        <v>634</v>
      </c>
      <c r="D253" s="42">
        <v>176</v>
      </c>
      <c r="E253" s="42" t="s">
        <v>635</v>
      </c>
      <c r="F253" s="42" t="s">
        <v>261</v>
      </c>
      <c r="G253" s="42">
        <v>7299</v>
      </c>
      <c r="H253" s="42" t="s">
        <v>262</v>
      </c>
      <c r="I253" s="42">
        <v>153.6</v>
      </c>
      <c r="J253" s="42">
        <v>153.9</v>
      </c>
      <c r="K253" s="42" t="b">
        <v>1</v>
      </c>
      <c r="L253" s="42">
        <v>5</v>
      </c>
      <c r="M253" s="42" t="s">
        <v>108</v>
      </c>
      <c r="N253" s="42">
        <v>2</v>
      </c>
      <c r="O253" s="42" t="s">
        <v>122</v>
      </c>
      <c r="P253" s="42">
        <v>80</v>
      </c>
      <c r="Q253" s="42" t="s">
        <v>213</v>
      </c>
      <c r="R253" s="42" t="s">
        <v>204</v>
      </c>
      <c r="S253" s="42">
        <v>1</v>
      </c>
      <c r="T253" s="42" t="s">
        <v>205</v>
      </c>
      <c r="U253" s="42" t="s">
        <v>121</v>
      </c>
      <c r="V253" s="42">
        <v>9</v>
      </c>
      <c r="W253" s="42" t="s">
        <v>206</v>
      </c>
      <c r="X253" s="42">
        <v>4</v>
      </c>
      <c r="Y253" s="42" t="s">
        <v>230</v>
      </c>
      <c r="Z253" s="42">
        <v>100</v>
      </c>
      <c r="AA253" s="42">
        <v>1.5389999999999999</v>
      </c>
      <c r="AB253" s="42" t="s">
        <v>36</v>
      </c>
      <c r="AC253" s="42">
        <v>1</v>
      </c>
      <c r="AD253" s="42">
        <v>1</v>
      </c>
      <c r="AE253" s="42">
        <v>153.9</v>
      </c>
    </row>
    <row r="254" spans="1:31" x14ac:dyDescent="0.2">
      <c r="A254" s="42" t="s">
        <v>917</v>
      </c>
      <c r="B254" s="42">
        <v>1</v>
      </c>
      <c r="C254" s="42" t="s">
        <v>634</v>
      </c>
      <c r="D254" s="42">
        <v>176</v>
      </c>
      <c r="E254" s="42" t="s">
        <v>635</v>
      </c>
      <c r="F254" s="42" t="s">
        <v>651</v>
      </c>
      <c r="G254" s="42">
        <v>8997</v>
      </c>
      <c r="H254" s="42" t="s">
        <v>652</v>
      </c>
      <c r="I254" s="42">
        <v>377458.19</v>
      </c>
      <c r="J254" s="42">
        <v>377458.19</v>
      </c>
      <c r="K254" s="42" t="b">
        <v>0</v>
      </c>
      <c r="L254" s="42">
        <v>0</v>
      </c>
      <c r="M254" s="42" t="s">
        <v>138</v>
      </c>
      <c r="N254" s="42">
        <v>0</v>
      </c>
      <c r="O254" s="42" t="s">
        <v>138</v>
      </c>
      <c r="P254" s="42">
        <v>0</v>
      </c>
      <c r="Q254" s="42" t="s">
        <v>138</v>
      </c>
      <c r="R254" s="42" t="s">
        <v>203</v>
      </c>
      <c r="U254" s="42" t="s">
        <v>138</v>
      </c>
      <c r="V254" s="42">
        <v>1</v>
      </c>
      <c r="W254" s="42" t="s">
        <v>116</v>
      </c>
      <c r="X254" s="42">
        <v>40</v>
      </c>
      <c r="Y254" s="42" t="s">
        <v>653</v>
      </c>
      <c r="Z254" s="42">
        <v>100</v>
      </c>
      <c r="AA254" s="42">
        <v>4333.22</v>
      </c>
      <c r="AB254" s="42" t="s">
        <v>34</v>
      </c>
      <c r="AC254" s="42">
        <v>1.1479999999999999</v>
      </c>
      <c r="AD254" s="42">
        <v>1</v>
      </c>
      <c r="AE254" s="42">
        <v>377458.19</v>
      </c>
    </row>
    <row r="255" spans="1:31" x14ac:dyDescent="0.2">
      <c r="A255" s="42" t="s">
        <v>917</v>
      </c>
      <c r="B255" s="42">
        <v>1</v>
      </c>
      <c r="C255" s="42" t="s">
        <v>634</v>
      </c>
      <c r="D255" s="42">
        <v>176</v>
      </c>
      <c r="E255" s="42" t="s">
        <v>635</v>
      </c>
      <c r="F255" s="42" t="s">
        <v>654</v>
      </c>
      <c r="G255" s="42">
        <v>8998</v>
      </c>
      <c r="H255" s="42" t="s">
        <v>655</v>
      </c>
      <c r="I255" s="42">
        <v>423541</v>
      </c>
      <c r="J255" s="42">
        <v>423541</v>
      </c>
      <c r="K255" s="42" t="b">
        <v>0</v>
      </c>
      <c r="L255" s="42">
        <v>0</v>
      </c>
      <c r="M255" s="42" t="s">
        <v>138</v>
      </c>
      <c r="N255" s="42">
        <v>0</v>
      </c>
      <c r="O255" s="42" t="s">
        <v>138</v>
      </c>
      <c r="P255" s="42">
        <v>0</v>
      </c>
      <c r="Q255" s="42" t="s">
        <v>138</v>
      </c>
      <c r="R255" s="42" t="s">
        <v>203</v>
      </c>
      <c r="U255" s="42" t="s">
        <v>138</v>
      </c>
      <c r="V255" s="42">
        <v>1</v>
      </c>
      <c r="W255" s="42" t="s">
        <v>116</v>
      </c>
      <c r="X255" s="42">
        <v>40</v>
      </c>
      <c r="Y255" s="42" t="s">
        <v>653</v>
      </c>
      <c r="Z255" s="42">
        <v>100</v>
      </c>
      <c r="AA255" s="42">
        <v>4235.41</v>
      </c>
      <c r="AB255" s="42" t="s">
        <v>36</v>
      </c>
      <c r="AC255" s="42">
        <v>1</v>
      </c>
      <c r="AD255" s="42">
        <v>1</v>
      </c>
      <c r="AE255" s="42">
        <v>423541</v>
      </c>
    </row>
    <row r="256" spans="1:31" x14ac:dyDescent="0.2">
      <c r="A256" s="42" t="s">
        <v>917</v>
      </c>
      <c r="B256" s="42">
        <v>1</v>
      </c>
      <c r="C256" s="42" t="s">
        <v>634</v>
      </c>
      <c r="D256" s="42">
        <v>176</v>
      </c>
      <c r="E256" s="42" t="s">
        <v>635</v>
      </c>
      <c r="F256" s="42" t="s">
        <v>656</v>
      </c>
      <c r="G256" s="42">
        <v>8999</v>
      </c>
      <c r="H256" s="42" t="s">
        <v>657</v>
      </c>
      <c r="I256" s="42">
        <v>203585.33</v>
      </c>
      <c r="J256" s="42">
        <v>203585.33</v>
      </c>
      <c r="K256" s="42" t="b">
        <v>0</v>
      </c>
      <c r="L256" s="42">
        <v>0</v>
      </c>
      <c r="M256" s="42" t="s">
        <v>138</v>
      </c>
      <c r="N256" s="42">
        <v>0</v>
      </c>
      <c r="O256" s="42" t="s">
        <v>138</v>
      </c>
      <c r="P256" s="42">
        <v>0</v>
      </c>
      <c r="Q256" s="42" t="s">
        <v>138</v>
      </c>
      <c r="R256" s="42" t="s">
        <v>203</v>
      </c>
      <c r="U256" s="42" t="s">
        <v>138</v>
      </c>
      <c r="V256" s="42">
        <v>1</v>
      </c>
      <c r="W256" s="42" t="s">
        <v>116</v>
      </c>
      <c r="X256" s="42">
        <v>40</v>
      </c>
      <c r="Y256" s="42" t="s">
        <v>653</v>
      </c>
      <c r="Z256" s="42">
        <v>100</v>
      </c>
      <c r="AA256" s="42">
        <v>19914.310000000001</v>
      </c>
      <c r="AB256" s="42" t="s">
        <v>39</v>
      </c>
      <c r="AC256" s="42">
        <v>9.7818000000000005</v>
      </c>
      <c r="AD256" s="42">
        <v>1</v>
      </c>
      <c r="AE256" s="42">
        <v>203585.33</v>
      </c>
    </row>
    <row r="257" spans="1:31" x14ac:dyDescent="0.2">
      <c r="A257" s="42" t="s">
        <v>917</v>
      </c>
      <c r="B257" s="42">
        <v>1</v>
      </c>
      <c r="C257" s="42" t="s">
        <v>634</v>
      </c>
      <c r="D257" s="42">
        <v>176</v>
      </c>
      <c r="E257" s="42" t="s">
        <v>635</v>
      </c>
      <c r="F257" s="42" t="s">
        <v>658</v>
      </c>
      <c r="G257" s="42">
        <v>9000</v>
      </c>
      <c r="H257" s="42" t="s">
        <v>659</v>
      </c>
      <c r="I257" s="42">
        <v>17518.47</v>
      </c>
      <c r="J257" s="42">
        <v>17518.47</v>
      </c>
      <c r="K257" s="42" t="b">
        <v>0</v>
      </c>
      <c r="L257" s="42">
        <v>0</v>
      </c>
      <c r="M257" s="42" t="s">
        <v>138</v>
      </c>
      <c r="N257" s="42">
        <v>0</v>
      </c>
      <c r="O257" s="42" t="s">
        <v>138</v>
      </c>
      <c r="P257" s="42">
        <v>0</v>
      </c>
      <c r="Q257" s="42" t="s">
        <v>138</v>
      </c>
      <c r="R257" s="42" t="s">
        <v>203</v>
      </c>
      <c r="U257" s="42" t="s">
        <v>138</v>
      </c>
      <c r="V257" s="42">
        <v>1</v>
      </c>
      <c r="W257" s="42" t="s">
        <v>116</v>
      </c>
      <c r="X257" s="42">
        <v>40</v>
      </c>
      <c r="Y257" s="42" t="s">
        <v>653</v>
      </c>
      <c r="Z257" s="42">
        <v>100</v>
      </c>
      <c r="AA257" s="42">
        <v>29698.71</v>
      </c>
      <c r="AB257" s="42" t="s">
        <v>40</v>
      </c>
      <c r="AC257" s="42">
        <v>169.52799999999999</v>
      </c>
      <c r="AD257" s="42">
        <v>1</v>
      </c>
      <c r="AE257" s="42">
        <v>17518.47</v>
      </c>
    </row>
    <row r="258" spans="1:31" x14ac:dyDescent="0.2">
      <c r="A258" s="42" t="s">
        <v>917</v>
      </c>
      <c r="B258" s="42">
        <v>1</v>
      </c>
      <c r="C258" s="42" t="s">
        <v>634</v>
      </c>
      <c r="D258" s="42">
        <v>176</v>
      </c>
      <c r="E258" s="42" t="s">
        <v>635</v>
      </c>
      <c r="F258" s="42" t="s">
        <v>660</v>
      </c>
      <c r="G258" s="42">
        <v>9001</v>
      </c>
      <c r="H258" s="42" t="s">
        <v>661</v>
      </c>
      <c r="I258" s="42">
        <v>78463.94</v>
      </c>
      <c r="J258" s="42">
        <v>78463.94</v>
      </c>
      <c r="K258" s="42" t="b">
        <v>0</v>
      </c>
      <c r="L258" s="42">
        <v>0</v>
      </c>
      <c r="M258" s="42" t="s">
        <v>138</v>
      </c>
      <c r="N258" s="42">
        <v>0</v>
      </c>
      <c r="O258" s="42" t="s">
        <v>138</v>
      </c>
      <c r="P258" s="42">
        <v>0</v>
      </c>
      <c r="Q258" s="42" t="s">
        <v>138</v>
      </c>
      <c r="R258" s="42" t="s">
        <v>203</v>
      </c>
      <c r="U258" s="42" t="s">
        <v>138</v>
      </c>
      <c r="V258" s="42">
        <v>1</v>
      </c>
      <c r="W258" s="42" t="s">
        <v>116</v>
      </c>
      <c r="X258" s="42">
        <v>40</v>
      </c>
      <c r="Y258" s="42" t="s">
        <v>653</v>
      </c>
      <c r="Z258" s="42">
        <v>100</v>
      </c>
      <c r="AA258" s="42">
        <v>979.23</v>
      </c>
      <c r="AB258" s="42" t="s">
        <v>35</v>
      </c>
      <c r="AC258" s="42">
        <v>1.248</v>
      </c>
      <c r="AD258" s="42">
        <v>1</v>
      </c>
      <c r="AE258" s="42">
        <v>78463.94</v>
      </c>
    </row>
    <row r="259" spans="1:31" x14ac:dyDescent="0.2">
      <c r="A259" s="42" t="s">
        <v>917</v>
      </c>
      <c r="B259" s="42">
        <v>1</v>
      </c>
      <c r="C259" s="42" t="s">
        <v>634</v>
      </c>
      <c r="D259" s="42">
        <v>176</v>
      </c>
      <c r="E259" s="42" t="s">
        <v>635</v>
      </c>
      <c r="F259" s="42" t="s">
        <v>662</v>
      </c>
      <c r="G259" s="42">
        <v>9002</v>
      </c>
      <c r="H259" s="42" t="s">
        <v>663</v>
      </c>
      <c r="I259" s="42">
        <v>332631.40999999997</v>
      </c>
      <c r="J259" s="42">
        <v>332631.40999999997</v>
      </c>
      <c r="K259" s="42" t="b">
        <v>0</v>
      </c>
      <c r="L259" s="42">
        <v>0</v>
      </c>
      <c r="M259" s="42" t="s">
        <v>138</v>
      </c>
      <c r="N259" s="42">
        <v>0</v>
      </c>
      <c r="O259" s="42" t="s">
        <v>138</v>
      </c>
      <c r="P259" s="42">
        <v>0</v>
      </c>
      <c r="Q259" s="42" t="s">
        <v>138</v>
      </c>
      <c r="R259" s="42" t="s">
        <v>203</v>
      </c>
      <c r="U259" s="42" t="s">
        <v>138</v>
      </c>
      <c r="V259" s="42">
        <v>1</v>
      </c>
      <c r="W259" s="42" t="s">
        <v>116</v>
      </c>
      <c r="X259" s="42">
        <v>40</v>
      </c>
      <c r="Y259" s="42" t="s">
        <v>653</v>
      </c>
      <c r="Z259" s="42">
        <v>100</v>
      </c>
      <c r="AA259" s="42">
        <v>4151.24</v>
      </c>
      <c r="AB259" s="42" t="s">
        <v>35</v>
      </c>
      <c r="AC259" s="42">
        <v>1.248</v>
      </c>
      <c r="AD259" s="42">
        <v>1</v>
      </c>
      <c r="AE259" s="42">
        <v>332631.40999999997</v>
      </c>
    </row>
    <row r="260" spans="1:31" x14ac:dyDescent="0.2">
      <c r="A260" s="42" t="s">
        <v>917</v>
      </c>
      <c r="B260" s="42">
        <v>1</v>
      </c>
      <c r="C260" s="42" t="s">
        <v>634</v>
      </c>
      <c r="D260" s="42">
        <v>176</v>
      </c>
      <c r="E260" s="42" t="s">
        <v>635</v>
      </c>
      <c r="F260" s="42" t="s">
        <v>664</v>
      </c>
      <c r="G260" s="42">
        <v>9003</v>
      </c>
      <c r="H260" s="42" t="s">
        <v>665</v>
      </c>
      <c r="I260" s="42">
        <v>331288.46000000002</v>
      </c>
      <c r="J260" s="42">
        <v>331288.46000000002</v>
      </c>
      <c r="K260" s="42" t="b">
        <v>0</v>
      </c>
      <c r="L260" s="42">
        <v>0</v>
      </c>
      <c r="M260" s="42" t="s">
        <v>138</v>
      </c>
      <c r="N260" s="42">
        <v>0</v>
      </c>
      <c r="O260" s="42" t="s">
        <v>138</v>
      </c>
      <c r="P260" s="42">
        <v>0</v>
      </c>
      <c r="Q260" s="42" t="s">
        <v>138</v>
      </c>
      <c r="R260" s="42" t="s">
        <v>203</v>
      </c>
      <c r="U260" s="42" t="s">
        <v>138</v>
      </c>
      <c r="V260" s="42">
        <v>1</v>
      </c>
      <c r="W260" s="42" t="s">
        <v>116</v>
      </c>
      <c r="X260" s="42">
        <v>40</v>
      </c>
      <c r="Y260" s="42" t="s">
        <v>653</v>
      </c>
      <c r="Z260" s="42">
        <v>100</v>
      </c>
      <c r="AA260" s="42">
        <v>4134.4799999999996</v>
      </c>
      <c r="AB260" s="42" t="s">
        <v>35</v>
      </c>
      <c r="AC260" s="42">
        <v>1.248</v>
      </c>
      <c r="AD260" s="42">
        <v>1</v>
      </c>
      <c r="AE260" s="42">
        <v>331288.46000000002</v>
      </c>
    </row>
    <row r="261" spans="1:31" x14ac:dyDescent="0.2">
      <c r="A261" s="42" t="s">
        <v>917</v>
      </c>
      <c r="B261" s="42">
        <v>1</v>
      </c>
      <c r="C261" s="42" t="s">
        <v>634</v>
      </c>
      <c r="D261" s="42">
        <v>176</v>
      </c>
      <c r="E261" s="42" t="s">
        <v>635</v>
      </c>
      <c r="F261" s="42" t="s">
        <v>666</v>
      </c>
      <c r="G261" s="42">
        <v>9004</v>
      </c>
      <c r="H261" s="42" t="s">
        <v>667</v>
      </c>
      <c r="I261" s="42">
        <v>203745.02</v>
      </c>
      <c r="J261" s="42">
        <v>203745.02</v>
      </c>
      <c r="K261" s="42" t="b">
        <v>0</v>
      </c>
      <c r="L261" s="42">
        <v>0</v>
      </c>
      <c r="M261" s="42" t="s">
        <v>138</v>
      </c>
      <c r="N261" s="42">
        <v>0</v>
      </c>
      <c r="O261" s="42" t="s">
        <v>138</v>
      </c>
      <c r="P261" s="42">
        <v>0</v>
      </c>
      <c r="Q261" s="42" t="s">
        <v>138</v>
      </c>
      <c r="R261" s="42" t="s">
        <v>203</v>
      </c>
      <c r="U261" s="42" t="s">
        <v>138</v>
      </c>
      <c r="V261" s="42">
        <v>1</v>
      </c>
      <c r="W261" s="42" t="s">
        <v>116</v>
      </c>
      <c r="X261" s="42">
        <v>40</v>
      </c>
      <c r="Y261" s="42" t="s">
        <v>653</v>
      </c>
      <c r="Z261" s="42">
        <v>100</v>
      </c>
      <c r="AA261" s="42">
        <v>19929.93</v>
      </c>
      <c r="AB261" s="42" t="s">
        <v>39</v>
      </c>
      <c r="AC261" s="42">
        <v>9.7818000000000005</v>
      </c>
      <c r="AD261" s="42">
        <v>1</v>
      </c>
      <c r="AE261" s="42">
        <v>203745.02</v>
      </c>
    </row>
    <row r="262" spans="1:31" x14ac:dyDescent="0.2">
      <c r="A262" s="42" t="s">
        <v>917</v>
      </c>
      <c r="B262" s="42">
        <v>1</v>
      </c>
      <c r="C262" s="42" t="s">
        <v>634</v>
      </c>
      <c r="D262" s="42">
        <v>176</v>
      </c>
      <c r="E262" s="42" t="s">
        <v>635</v>
      </c>
      <c r="F262" s="42" t="s">
        <v>668</v>
      </c>
      <c r="G262" s="42">
        <v>9005</v>
      </c>
      <c r="H262" s="42" t="s">
        <v>669</v>
      </c>
      <c r="I262" s="42">
        <v>17518.47</v>
      </c>
      <c r="J262" s="42">
        <v>17518.47</v>
      </c>
      <c r="K262" s="42" t="b">
        <v>0</v>
      </c>
      <c r="L262" s="42">
        <v>0</v>
      </c>
      <c r="M262" s="42" t="s">
        <v>138</v>
      </c>
      <c r="N262" s="42">
        <v>0</v>
      </c>
      <c r="O262" s="42" t="s">
        <v>138</v>
      </c>
      <c r="P262" s="42">
        <v>0</v>
      </c>
      <c r="Q262" s="42" t="s">
        <v>138</v>
      </c>
      <c r="R262" s="42" t="s">
        <v>203</v>
      </c>
      <c r="U262" s="42" t="s">
        <v>138</v>
      </c>
      <c r="V262" s="42">
        <v>1</v>
      </c>
      <c r="W262" s="42" t="s">
        <v>116</v>
      </c>
      <c r="X262" s="42">
        <v>40</v>
      </c>
      <c r="Y262" s="42" t="s">
        <v>653</v>
      </c>
      <c r="Z262" s="42">
        <v>100</v>
      </c>
      <c r="AA262" s="42">
        <v>29698.71</v>
      </c>
      <c r="AB262" s="42" t="s">
        <v>40</v>
      </c>
      <c r="AC262" s="42">
        <v>169.52799999999999</v>
      </c>
      <c r="AD262" s="42">
        <v>1</v>
      </c>
      <c r="AE262" s="42">
        <v>17518.47</v>
      </c>
    </row>
    <row r="263" spans="1:31" x14ac:dyDescent="0.2">
      <c r="A263" s="42" t="s">
        <v>917</v>
      </c>
      <c r="B263" s="42">
        <v>1</v>
      </c>
      <c r="C263" s="42" t="s">
        <v>634</v>
      </c>
      <c r="D263" s="42">
        <v>176</v>
      </c>
      <c r="E263" s="42" t="s">
        <v>635</v>
      </c>
      <c r="F263" s="42" t="s">
        <v>670</v>
      </c>
      <c r="G263" s="42">
        <v>9015</v>
      </c>
      <c r="H263" s="42" t="s">
        <v>671</v>
      </c>
      <c r="I263" s="42">
        <v>77484.78</v>
      </c>
      <c r="J263" s="42">
        <v>77484.78</v>
      </c>
      <c r="K263" s="42" t="b">
        <v>0</v>
      </c>
      <c r="L263" s="42">
        <v>0</v>
      </c>
      <c r="M263" s="42" t="s">
        <v>138</v>
      </c>
      <c r="N263" s="42">
        <v>0</v>
      </c>
      <c r="O263" s="42" t="s">
        <v>138</v>
      </c>
      <c r="P263" s="42">
        <v>0</v>
      </c>
      <c r="Q263" s="42" t="s">
        <v>138</v>
      </c>
      <c r="R263" s="42" t="s">
        <v>114</v>
      </c>
      <c r="U263" s="42" t="s">
        <v>138</v>
      </c>
      <c r="V263" s="42">
        <v>1</v>
      </c>
      <c r="W263" s="42" t="s">
        <v>116</v>
      </c>
      <c r="X263" s="42">
        <v>40</v>
      </c>
      <c r="Y263" s="42" t="s">
        <v>653</v>
      </c>
      <c r="Z263" s="42">
        <v>100</v>
      </c>
      <c r="AA263" s="42">
        <v>967.01</v>
      </c>
      <c r="AB263" s="42" t="s">
        <v>35</v>
      </c>
      <c r="AC263" s="42">
        <v>1.248</v>
      </c>
      <c r="AD263" s="42">
        <v>1</v>
      </c>
      <c r="AE263" s="42">
        <v>77484.78</v>
      </c>
    </row>
    <row r="264" spans="1:31" x14ac:dyDescent="0.2">
      <c r="A264" s="42" t="s">
        <v>917</v>
      </c>
      <c r="B264" s="42">
        <v>1</v>
      </c>
      <c r="C264" s="42" t="s">
        <v>634</v>
      </c>
      <c r="D264" s="42">
        <v>176</v>
      </c>
      <c r="E264" s="42" t="s">
        <v>635</v>
      </c>
      <c r="F264" s="42" t="s">
        <v>672</v>
      </c>
      <c r="G264" s="42">
        <v>10021</v>
      </c>
      <c r="H264" s="42" t="s">
        <v>673</v>
      </c>
      <c r="I264" s="42">
        <v>191675.98</v>
      </c>
      <c r="J264" s="42">
        <v>191675.98</v>
      </c>
      <c r="K264" s="42" t="b">
        <v>0</v>
      </c>
      <c r="L264" s="42">
        <v>5</v>
      </c>
      <c r="M264" s="42" t="s">
        <v>108</v>
      </c>
      <c r="N264" s="42">
        <v>6</v>
      </c>
      <c r="O264" s="42" t="s">
        <v>303</v>
      </c>
      <c r="P264" s="42">
        <v>1</v>
      </c>
      <c r="Q264" s="42" t="s">
        <v>326</v>
      </c>
      <c r="R264" s="42" t="s">
        <v>114</v>
      </c>
      <c r="U264" s="42" t="s">
        <v>121</v>
      </c>
      <c r="V264" s="42">
        <v>1</v>
      </c>
      <c r="W264" s="42" t="s">
        <v>116</v>
      </c>
      <c r="X264" s="42">
        <v>18</v>
      </c>
      <c r="Y264" s="42" t="s">
        <v>117</v>
      </c>
      <c r="Z264" s="42">
        <v>55865.921799999996</v>
      </c>
      <c r="AA264" s="42">
        <v>3.431</v>
      </c>
      <c r="AB264" s="42" t="s">
        <v>36</v>
      </c>
      <c r="AC264" s="42">
        <v>1</v>
      </c>
      <c r="AD264" s="42">
        <v>1</v>
      </c>
      <c r="AE264" s="42">
        <v>191675.98</v>
      </c>
    </row>
    <row r="265" spans="1:31" x14ac:dyDescent="0.2">
      <c r="A265" s="42" t="s">
        <v>917</v>
      </c>
      <c r="B265" s="42">
        <v>1</v>
      </c>
      <c r="C265" s="42" t="s">
        <v>634</v>
      </c>
      <c r="D265" s="42">
        <v>176</v>
      </c>
      <c r="E265" s="42" t="s">
        <v>635</v>
      </c>
      <c r="F265" s="42" t="s">
        <v>674</v>
      </c>
      <c r="G265" s="42">
        <v>10041</v>
      </c>
      <c r="H265" s="42" t="s">
        <v>675</v>
      </c>
      <c r="I265" s="42">
        <v>183719.6</v>
      </c>
      <c r="J265" s="42">
        <v>183719.6</v>
      </c>
      <c r="K265" s="42" t="b">
        <v>0</v>
      </c>
      <c r="L265" s="42">
        <v>3</v>
      </c>
      <c r="M265" s="42" t="s">
        <v>209</v>
      </c>
      <c r="N265" s="42">
        <v>2</v>
      </c>
      <c r="O265" s="42" t="s">
        <v>122</v>
      </c>
      <c r="P265" s="42">
        <v>69</v>
      </c>
      <c r="Q265" s="42" t="s">
        <v>234</v>
      </c>
      <c r="R265" s="42" t="s">
        <v>114</v>
      </c>
      <c r="U265" s="42" t="s">
        <v>121</v>
      </c>
      <c r="V265" s="42">
        <v>1</v>
      </c>
      <c r="W265" s="42" t="s">
        <v>116</v>
      </c>
      <c r="X265" s="42">
        <v>13</v>
      </c>
      <c r="Y265" s="42" t="s">
        <v>166</v>
      </c>
      <c r="Z265" s="42">
        <v>180471.12</v>
      </c>
      <c r="AA265" s="42">
        <v>1.018</v>
      </c>
      <c r="AB265" s="42" t="s">
        <v>36</v>
      </c>
      <c r="AC265" s="42">
        <v>1</v>
      </c>
      <c r="AD265" s="42">
        <v>1</v>
      </c>
      <c r="AE265" s="42">
        <v>183719.6</v>
      </c>
    </row>
    <row r="266" spans="1:31" x14ac:dyDescent="0.2">
      <c r="A266" s="42" t="s">
        <v>917</v>
      </c>
      <c r="B266" s="42">
        <v>1</v>
      </c>
      <c r="C266" s="42" t="s">
        <v>634</v>
      </c>
      <c r="D266" s="42">
        <v>176</v>
      </c>
      <c r="E266" s="42" t="s">
        <v>635</v>
      </c>
      <c r="F266" s="42" t="s">
        <v>676</v>
      </c>
      <c r="G266" s="42">
        <v>10042</v>
      </c>
      <c r="H266" s="42" t="s">
        <v>677</v>
      </c>
      <c r="I266" s="42">
        <v>293049.15000000002</v>
      </c>
      <c r="J266" s="42">
        <v>293049.15000000002</v>
      </c>
      <c r="K266" s="42" t="b">
        <v>0</v>
      </c>
      <c r="L266" s="42">
        <v>4</v>
      </c>
      <c r="M266" s="42" t="s">
        <v>128</v>
      </c>
      <c r="N266" s="42">
        <v>1</v>
      </c>
      <c r="O266" s="42" t="s">
        <v>112</v>
      </c>
      <c r="P266" s="42">
        <v>31</v>
      </c>
      <c r="Q266" s="42" t="s">
        <v>330</v>
      </c>
      <c r="R266" s="42" t="s">
        <v>114</v>
      </c>
      <c r="U266" s="42" t="s">
        <v>121</v>
      </c>
      <c r="V266" s="42">
        <v>1</v>
      </c>
      <c r="W266" s="42" t="s">
        <v>116</v>
      </c>
      <c r="X266" s="42">
        <v>18</v>
      </c>
      <c r="Y266" s="42" t="s">
        <v>117</v>
      </c>
      <c r="Z266" s="42">
        <v>300902.70899999997</v>
      </c>
      <c r="AA266" s="42">
        <v>0.97389999999999999</v>
      </c>
      <c r="AB266" s="42" t="s">
        <v>36</v>
      </c>
      <c r="AC266" s="42">
        <v>1</v>
      </c>
      <c r="AD266" s="42">
        <v>1</v>
      </c>
      <c r="AE266" s="42">
        <v>293049.15000000002</v>
      </c>
    </row>
    <row r="267" spans="1:31" x14ac:dyDescent="0.2">
      <c r="A267" s="42" t="s">
        <v>917</v>
      </c>
      <c r="B267" s="42">
        <v>1</v>
      </c>
      <c r="C267" s="42" t="s">
        <v>634</v>
      </c>
      <c r="D267" s="42">
        <v>176</v>
      </c>
      <c r="E267" s="42" t="s">
        <v>635</v>
      </c>
      <c r="F267" s="42" t="s">
        <v>678</v>
      </c>
      <c r="G267" s="42">
        <v>10051</v>
      </c>
      <c r="H267" s="42" t="s">
        <v>679</v>
      </c>
      <c r="I267" s="42">
        <v>843219.62</v>
      </c>
      <c r="J267" s="42">
        <v>843219.62</v>
      </c>
      <c r="K267" s="42" t="b">
        <v>0</v>
      </c>
      <c r="L267" s="42">
        <v>5</v>
      </c>
      <c r="M267" s="42" t="s">
        <v>108</v>
      </c>
      <c r="N267" s="42">
        <v>2</v>
      </c>
      <c r="O267" s="42" t="s">
        <v>122</v>
      </c>
      <c r="P267" s="42">
        <v>1</v>
      </c>
      <c r="Q267" s="42" t="s">
        <v>326</v>
      </c>
      <c r="R267" s="42" t="s">
        <v>114</v>
      </c>
      <c r="U267" s="42" t="s">
        <v>121</v>
      </c>
      <c r="V267" s="42">
        <v>1</v>
      </c>
      <c r="W267" s="42" t="s">
        <v>116</v>
      </c>
      <c r="X267" s="42">
        <v>18</v>
      </c>
      <c r="Y267" s="42" t="s">
        <v>117</v>
      </c>
      <c r="Z267" s="42">
        <v>294656.88799999998</v>
      </c>
      <c r="AA267" s="42">
        <v>2.8616999999999999</v>
      </c>
      <c r="AB267" s="42" t="s">
        <v>36</v>
      </c>
      <c r="AC267" s="42">
        <v>1</v>
      </c>
      <c r="AD267" s="42">
        <v>1</v>
      </c>
      <c r="AE267" s="42">
        <v>843219.62</v>
      </c>
    </row>
    <row r="268" spans="1:31" x14ac:dyDescent="0.2">
      <c r="A268" s="42" t="s">
        <v>917</v>
      </c>
      <c r="B268" s="42">
        <v>1</v>
      </c>
      <c r="C268" s="42" t="s">
        <v>634</v>
      </c>
      <c r="D268" s="42">
        <v>176</v>
      </c>
      <c r="E268" s="42" t="s">
        <v>635</v>
      </c>
      <c r="F268" s="42" t="s">
        <v>339</v>
      </c>
      <c r="G268" s="42">
        <v>10052</v>
      </c>
      <c r="H268" s="42" t="s">
        <v>340</v>
      </c>
      <c r="I268" s="42">
        <v>688569.39</v>
      </c>
      <c r="J268" s="42">
        <v>688569.39</v>
      </c>
      <c r="K268" s="42" t="b">
        <v>0</v>
      </c>
      <c r="L268" s="42">
        <v>5</v>
      </c>
      <c r="M268" s="42" t="s">
        <v>108</v>
      </c>
      <c r="N268" s="42">
        <v>28</v>
      </c>
      <c r="O268" s="42" t="s">
        <v>120</v>
      </c>
      <c r="P268" s="42">
        <v>9</v>
      </c>
      <c r="Q268" s="42" t="s">
        <v>320</v>
      </c>
      <c r="R268" s="42" t="s">
        <v>114</v>
      </c>
      <c r="U268" s="42" t="s">
        <v>121</v>
      </c>
      <c r="V268" s="42">
        <v>1</v>
      </c>
      <c r="W268" s="42" t="s">
        <v>116</v>
      </c>
      <c r="X268" s="42">
        <v>18</v>
      </c>
      <c r="Y268" s="42" t="s">
        <v>117</v>
      </c>
      <c r="Z268" s="42">
        <v>248491.3</v>
      </c>
      <c r="AA268" s="42">
        <v>2.7709999999999999</v>
      </c>
      <c r="AB268" s="42" t="s">
        <v>36</v>
      </c>
      <c r="AC268" s="42">
        <v>1</v>
      </c>
      <c r="AD268" s="42">
        <v>1</v>
      </c>
      <c r="AE268" s="42">
        <v>688569.39</v>
      </c>
    </row>
    <row r="269" spans="1:31" x14ac:dyDescent="0.2">
      <c r="A269" s="42" t="s">
        <v>917</v>
      </c>
      <c r="B269" s="42">
        <v>1</v>
      </c>
      <c r="C269" s="42" t="s">
        <v>634</v>
      </c>
      <c r="D269" s="42">
        <v>176</v>
      </c>
      <c r="E269" s="42" t="s">
        <v>635</v>
      </c>
      <c r="F269" s="42" t="s">
        <v>680</v>
      </c>
      <c r="G269" s="42">
        <v>10058</v>
      </c>
      <c r="H269" s="42" t="s">
        <v>681</v>
      </c>
      <c r="I269" s="42">
        <v>233205.66</v>
      </c>
      <c r="J269" s="42">
        <v>233205.66</v>
      </c>
      <c r="K269" s="42" t="b">
        <v>0</v>
      </c>
      <c r="L269" s="42">
        <v>4</v>
      </c>
      <c r="M269" s="42" t="s">
        <v>128</v>
      </c>
      <c r="N269" s="42">
        <v>29</v>
      </c>
      <c r="O269" s="42" t="s">
        <v>142</v>
      </c>
      <c r="P269" s="42">
        <v>14</v>
      </c>
      <c r="Q269" s="42" t="s">
        <v>323</v>
      </c>
      <c r="R269" s="42" t="s">
        <v>114</v>
      </c>
      <c r="U269" s="42" t="s">
        <v>121</v>
      </c>
      <c r="V269" s="42">
        <v>1</v>
      </c>
      <c r="W269" s="42" t="s">
        <v>116</v>
      </c>
      <c r="X269" s="42">
        <v>18</v>
      </c>
      <c r="Y269" s="42" t="s">
        <v>117</v>
      </c>
      <c r="Z269" s="42">
        <v>249791.84099999999</v>
      </c>
      <c r="AA269" s="42">
        <v>0.93359999999999999</v>
      </c>
      <c r="AB269" s="42" t="s">
        <v>36</v>
      </c>
      <c r="AC269" s="42">
        <v>1</v>
      </c>
      <c r="AD269" s="42">
        <v>1</v>
      </c>
      <c r="AE269" s="42">
        <v>233205.66</v>
      </c>
    </row>
    <row r="270" spans="1:31" x14ac:dyDescent="0.2">
      <c r="A270" s="42" t="s">
        <v>917</v>
      </c>
      <c r="B270" s="42">
        <v>1</v>
      </c>
      <c r="C270" s="42" t="s">
        <v>634</v>
      </c>
      <c r="D270" s="42">
        <v>176</v>
      </c>
      <c r="E270" s="42" t="s">
        <v>635</v>
      </c>
      <c r="F270" s="42" t="s">
        <v>682</v>
      </c>
      <c r="G270" s="42">
        <v>10103</v>
      </c>
      <c r="H270" s="42" t="s">
        <v>683</v>
      </c>
      <c r="I270" s="42">
        <v>355181.48</v>
      </c>
      <c r="J270" s="42">
        <v>355181.48</v>
      </c>
      <c r="K270" s="42" t="b">
        <v>0</v>
      </c>
      <c r="L270" s="42">
        <v>2</v>
      </c>
      <c r="M270" s="42" t="s">
        <v>248</v>
      </c>
      <c r="N270" s="42">
        <v>1</v>
      </c>
      <c r="O270" s="42" t="s">
        <v>112</v>
      </c>
      <c r="P270" s="42">
        <v>63</v>
      </c>
      <c r="Q270" s="42" t="s">
        <v>324</v>
      </c>
      <c r="R270" s="42" t="s">
        <v>114</v>
      </c>
      <c r="U270" s="42" t="s">
        <v>121</v>
      </c>
      <c r="V270" s="42">
        <v>1</v>
      </c>
      <c r="W270" s="42" t="s">
        <v>116</v>
      </c>
      <c r="X270" s="42">
        <v>18</v>
      </c>
      <c r="Y270" s="42" t="s">
        <v>117</v>
      </c>
      <c r="Z270" s="42">
        <v>154359.61619999999</v>
      </c>
      <c r="AA270" s="42">
        <v>2.3010000000000002</v>
      </c>
      <c r="AB270" s="42" t="s">
        <v>36</v>
      </c>
      <c r="AC270" s="42">
        <v>1</v>
      </c>
      <c r="AD270" s="42">
        <v>1</v>
      </c>
      <c r="AE270" s="42">
        <v>355181.48</v>
      </c>
    </row>
    <row r="271" spans="1:31" x14ac:dyDescent="0.2">
      <c r="A271" s="42" t="s">
        <v>917</v>
      </c>
      <c r="B271" s="42">
        <v>1</v>
      </c>
      <c r="C271" s="42" t="s">
        <v>634</v>
      </c>
      <c r="D271" s="42">
        <v>176</v>
      </c>
      <c r="E271" s="42" t="s">
        <v>635</v>
      </c>
      <c r="F271" s="42" t="s">
        <v>684</v>
      </c>
      <c r="G271" s="42">
        <v>10107</v>
      </c>
      <c r="H271" s="42" t="s">
        <v>685</v>
      </c>
      <c r="I271" s="42">
        <v>270920.88</v>
      </c>
      <c r="J271" s="42">
        <v>270920.88</v>
      </c>
      <c r="K271" s="42" t="b">
        <v>0</v>
      </c>
      <c r="L271" s="42">
        <v>2</v>
      </c>
      <c r="M271" s="42" t="s">
        <v>248</v>
      </c>
      <c r="N271" s="42">
        <v>1</v>
      </c>
      <c r="O271" s="42" t="s">
        <v>112</v>
      </c>
      <c r="P271" s="42">
        <v>63</v>
      </c>
      <c r="Q271" s="42" t="s">
        <v>324</v>
      </c>
      <c r="R271" s="42" t="s">
        <v>114</v>
      </c>
      <c r="U271" s="42" t="s">
        <v>121</v>
      </c>
      <c r="V271" s="42">
        <v>1</v>
      </c>
      <c r="W271" s="42" t="s">
        <v>116</v>
      </c>
      <c r="X271" s="42">
        <v>18</v>
      </c>
      <c r="Y271" s="42" t="s">
        <v>117</v>
      </c>
      <c r="Z271" s="42">
        <v>181582.361</v>
      </c>
      <c r="AA271" s="42">
        <v>1.492</v>
      </c>
      <c r="AB271" s="42" t="s">
        <v>36</v>
      </c>
      <c r="AC271" s="42">
        <v>1</v>
      </c>
      <c r="AD271" s="42">
        <v>1</v>
      </c>
      <c r="AE271" s="42">
        <v>270920.88</v>
      </c>
    </row>
    <row r="272" spans="1:31" x14ac:dyDescent="0.2">
      <c r="A272" s="42" t="s">
        <v>917</v>
      </c>
      <c r="B272" s="42">
        <v>1</v>
      </c>
      <c r="C272" s="42" t="s">
        <v>634</v>
      </c>
      <c r="D272" s="42">
        <v>176</v>
      </c>
      <c r="E272" s="42" t="s">
        <v>635</v>
      </c>
      <c r="F272" s="42" t="s">
        <v>686</v>
      </c>
      <c r="G272" s="42">
        <v>10223</v>
      </c>
      <c r="H272" s="42" t="s">
        <v>687</v>
      </c>
      <c r="I272" s="42">
        <v>1055816.69</v>
      </c>
      <c r="J272" s="42">
        <v>1055816.69</v>
      </c>
      <c r="K272" s="42" t="b">
        <v>0</v>
      </c>
      <c r="L272" s="42">
        <v>5</v>
      </c>
      <c r="M272" s="42" t="s">
        <v>108</v>
      </c>
      <c r="N272" s="42">
        <v>2</v>
      </c>
      <c r="O272" s="42" t="s">
        <v>122</v>
      </c>
      <c r="P272" s="42">
        <v>1</v>
      </c>
      <c r="Q272" s="42" t="s">
        <v>326</v>
      </c>
      <c r="R272" s="42" t="s">
        <v>114</v>
      </c>
      <c r="U272" s="42" t="s">
        <v>121</v>
      </c>
      <c r="V272" s="42">
        <v>1</v>
      </c>
      <c r="W272" s="42" t="s">
        <v>116</v>
      </c>
      <c r="X272" s="42">
        <v>18</v>
      </c>
      <c r="Y272" s="42" t="s">
        <v>117</v>
      </c>
      <c r="Z272" s="42">
        <v>587544.06599999999</v>
      </c>
      <c r="AA272" s="42">
        <v>1.7969999999999999</v>
      </c>
      <c r="AB272" s="42" t="s">
        <v>36</v>
      </c>
      <c r="AC272" s="42">
        <v>1</v>
      </c>
      <c r="AD272" s="42">
        <v>1</v>
      </c>
      <c r="AE272" s="42">
        <v>1055816.69</v>
      </c>
    </row>
    <row r="273" spans="1:31" x14ac:dyDescent="0.2">
      <c r="A273" s="42" t="s">
        <v>917</v>
      </c>
      <c r="B273" s="42">
        <v>1</v>
      </c>
      <c r="C273" s="42" t="s">
        <v>634</v>
      </c>
      <c r="D273" s="42">
        <v>176</v>
      </c>
      <c r="E273" s="42" t="s">
        <v>635</v>
      </c>
      <c r="F273" s="42" t="s">
        <v>688</v>
      </c>
      <c r="G273" s="42">
        <v>10587</v>
      </c>
      <c r="H273" s="42" t="s">
        <v>689</v>
      </c>
      <c r="I273" s="42">
        <v>1130865.95</v>
      </c>
      <c r="J273" s="42">
        <v>1130865.95</v>
      </c>
      <c r="K273" s="42" t="b">
        <v>0</v>
      </c>
      <c r="L273" s="42">
        <v>5</v>
      </c>
      <c r="M273" s="42" t="s">
        <v>108</v>
      </c>
      <c r="N273" s="42">
        <v>1</v>
      </c>
      <c r="O273" s="42" t="s">
        <v>112</v>
      </c>
      <c r="P273" s="42">
        <v>3</v>
      </c>
      <c r="Q273" s="42" t="s">
        <v>325</v>
      </c>
      <c r="R273" s="42" t="s">
        <v>114</v>
      </c>
      <c r="U273" s="42" t="s">
        <v>121</v>
      </c>
      <c r="V273" s="42">
        <v>1</v>
      </c>
      <c r="W273" s="42" t="s">
        <v>116</v>
      </c>
      <c r="X273" s="42">
        <v>18</v>
      </c>
      <c r="Y273" s="42" t="s">
        <v>117</v>
      </c>
      <c r="Z273" s="42">
        <v>885425.89</v>
      </c>
      <c r="AA273" s="42">
        <v>1.2771999999999999</v>
      </c>
      <c r="AB273" s="42" t="s">
        <v>36</v>
      </c>
      <c r="AC273" s="42">
        <v>1</v>
      </c>
      <c r="AD273" s="42">
        <v>1</v>
      </c>
      <c r="AE273" s="42">
        <v>1130865.95</v>
      </c>
    </row>
    <row r="274" spans="1:31" x14ac:dyDescent="0.2">
      <c r="A274" s="42" t="s">
        <v>917</v>
      </c>
      <c r="B274" s="42">
        <v>1</v>
      </c>
      <c r="C274" s="42" t="s">
        <v>634</v>
      </c>
      <c r="D274" s="42">
        <v>176</v>
      </c>
      <c r="E274" s="42" t="s">
        <v>635</v>
      </c>
      <c r="F274" s="42" t="s">
        <v>690</v>
      </c>
      <c r="G274" s="42">
        <v>10625</v>
      </c>
      <c r="H274" s="42" t="s">
        <v>691</v>
      </c>
      <c r="I274" s="42">
        <v>699439.1</v>
      </c>
      <c r="J274" s="42">
        <v>699439.1</v>
      </c>
      <c r="K274" s="42" t="b">
        <v>0</v>
      </c>
      <c r="L274" s="42">
        <v>5</v>
      </c>
      <c r="M274" s="42" t="s">
        <v>108</v>
      </c>
      <c r="N274" s="42">
        <v>1</v>
      </c>
      <c r="O274" s="42" t="s">
        <v>112</v>
      </c>
      <c r="P274" s="42">
        <v>20</v>
      </c>
      <c r="Q274" s="42" t="s">
        <v>249</v>
      </c>
      <c r="R274" s="42" t="s">
        <v>114</v>
      </c>
      <c r="U274" s="42" t="s">
        <v>138</v>
      </c>
      <c r="V274" s="42">
        <v>1</v>
      </c>
      <c r="W274" s="42" t="s">
        <v>116</v>
      </c>
      <c r="X274" s="42">
        <v>40</v>
      </c>
      <c r="Y274" s="42" t="s">
        <v>653</v>
      </c>
      <c r="Z274" s="42">
        <v>100</v>
      </c>
      <c r="AA274" s="42">
        <v>8729</v>
      </c>
      <c r="AB274" s="42" t="s">
        <v>35</v>
      </c>
      <c r="AC274" s="42">
        <v>1.248</v>
      </c>
      <c r="AD274" s="42">
        <v>1</v>
      </c>
      <c r="AE274" s="42">
        <v>699439.1</v>
      </c>
    </row>
    <row r="275" spans="1:31" x14ac:dyDescent="0.2">
      <c r="A275" s="42" t="s">
        <v>917</v>
      </c>
      <c r="B275" s="42">
        <v>1</v>
      </c>
      <c r="C275" s="42" t="s">
        <v>634</v>
      </c>
      <c r="D275" s="42">
        <v>176</v>
      </c>
      <c r="E275" s="42" t="s">
        <v>635</v>
      </c>
      <c r="F275" s="42" t="s">
        <v>692</v>
      </c>
      <c r="G275" s="42">
        <v>10939</v>
      </c>
      <c r="H275" s="42" t="s">
        <v>693</v>
      </c>
      <c r="I275" s="42">
        <v>775018.43</v>
      </c>
      <c r="J275" s="42">
        <v>775018.43</v>
      </c>
      <c r="K275" s="42" t="b">
        <v>0</v>
      </c>
      <c r="L275" s="42">
        <v>5</v>
      </c>
      <c r="M275" s="42" t="s">
        <v>108</v>
      </c>
      <c r="N275" s="42">
        <v>29</v>
      </c>
      <c r="O275" s="42" t="s">
        <v>142</v>
      </c>
      <c r="P275" s="42">
        <v>3</v>
      </c>
      <c r="Q275" s="42" t="s">
        <v>325</v>
      </c>
      <c r="R275" s="42" t="s">
        <v>114</v>
      </c>
      <c r="U275" s="42" t="s">
        <v>121</v>
      </c>
      <c r="V275" s="42">
        <v>1</v>
      </c>
      <c r="W275" s="42" t="s">
        <v>116</v>
      </c>
      <c r="X275" s="42">
        <v>18</v>
      </c>
      <c r="Y275" s="42" t="s">
        <v>117</v>
      </c>
      <c r="Z275" s="42">
        <v>573535.43599999999</v>
      </c>
      <c r="AA275" s="42">
        <v>1.3512999999999999</v>
      </c>
      <c r="AB275" s="42" t="s">
        <v>36</v>
      </c>
      <c r="AC275" s="42">
        <v>1</v>
      </c>
      <c r="AD275" s="42">
        <v>1</v>
      </c>
      <c r="AE275" s="42">
        <v>775018.43</v>
      </c>
    </row>
    <row r="276" spans="1:31" x14ac:dyDescent="0.2">
      <c r="A276" s="42" t="s">
        <v>917</v>
      </c>
      <c r="B276" s="42">
        <v>1</v>
      </c>
      <c r="C276" s="42" t="s">
        <v>634</v>
      </c>
      <c r="D276" s="42">
        <v>176</v>
      </c>
      <c r="E276" s="42" t="s">
        <v>635</v>
      </c>
      <c r="F276" s="42" t="s">
        <v>694</v>
      </c>
      <c r="G276" s="42">
        <v>11155</v>
      </c>
      <c r="H276" s="42" t="s">
        <v>695</v>
      </c>
      <c r="I276" s="42">
        <v>14310.29</v>
      </c>
      <c r="J276" s="42">
        <v>14310.29</v>
      </c>
      <c r="K276" s="42" t="b">
        <v>0</v>
      </c>
      <c r="L276" s="42">
        <v>5</v>
      </c>
      <c r="M276" s="42" t="s">
        <v>108</v>
      </c>
      <c r="N276" s="42">
        <v>5</v>
      </c>
      <c r="O276" s="42" t="s">
        <v>143</v>
      </c>
      <c r="P276" s="42">
        <v>55</v>
      </c>
      <c r="Q276" s="42" t="s">
        <v>143</v>
      </c>
      <c r="R276" s="42" t="s">
        <v>114</v>
      </c>
      <c r="U276" s="42" t="s">
        <v>115</v>
      </c>
      <c r="V276" s="42">
        <v>1</v>
      </c>
      <c r="W276" s="42" t="s">
        <v>116</v>
      </c>
      <c r="X276" s="42">
        <v>18</v>
      </c>
      <c r="Y276" s="42" t="s">
        <v>117</v>
      </c>
      <c r="Z276" s="42">
        <v>100</v>
      </c>
      <c r="AA276" s="42">
        <v>143.10290000000001</v>
      </c>
      <c r="AB276" s="42" t="s">
        <v>36</v>
      </c>
      <c r="AC276" s="42">
        <v>1</v>
      </c>
      <c r="AD276" s="42">
        <v>1</v>
      </c>
      <c r="AE276" s="42">
        <v>14310.29</v>
      </c>
    </row>
    <row r="277" spans="1:31" x14ac:dyDescent="0.2">
      <c r="A277" s="42" t="s">
        <v>917</v>
      </c>
      <c r="B277" s="42">
        <v>1</v>
      </c>
      <c r="C277" s="42" t="s">
        <v>634</v>
      </c>
      <c r="D277" s="42">
        <v>176</v>
      </c>
      <c r="E277" s="42" t="s">
        <v>635</v>
      </c>
      <c r="F277" s="42" t="s">
        <v>381</v>
      </c>
      <c r="G277" s="42">
        <v>11284</v>
      </c>
      <c r="H277" s="42" t="s">
        <v>382</v>
      </c>
      <c r="I277" s="42">
        <v>157.01</v>
      </c>
      <c r="J277" s="42">
        <v>157.01</v>
      </c>
      <c r="K277" s="42" t="b">
        <v>0</v>
      </c>
      <c r="L277" s="42">
        <v>4</v>
      </c>
      <c r="M277" s="42" t="s">
        <v>128</v>
      </c>
      <c r="N277" s="42">
        <v>1</v>
      </c>
      <c r="O277" s="42" t="s">
        <v>112</v>
      </c>
      <c r="P277" s="42">
        <v>268</v>
      </c>
      <c r="Q277" s="42" t="s">
        <v>383</v>
      </c>
      <c r="R277" s="42" t="s">
        <v>114</v>
      </c>
      <c r="U277" s="42" t="s">
        <v>121</v>
      </c>
      <c r="V277" s="42">
        <v>1</v>
      </c>
      <c r="W277" s="42" t="s">
        <v>116</v>
      </c>
      <c r="X277" s="42">
        <v>18</v>
      </c>
      <c r="Y277" s="42" t="s">
        <v>117</v>
      </c>
      <c r="Z277" s="42">
        <v>100</v>
      </c>
      <c r="AA277" s="42">
        <v>1.5701000000000001</v>
      </c>
      <c r="AB277" s="42" t="s">
        <v>36</v>
      </c>
      <c r="AC277" s="42">
        <v>1</v>
      </c>
      <c r="AD277" s="42">
        <v>1</v>
      </c>
      <c r="AE277" s="42">
        <v>157.01</v>
      </c>
    </row>
    <row r="278" spans="1:31" x14ac:dyDescent="0.2">
      <c r="A278" s="42" t="s">
        <v>917</v>
      </c>
      <c r="B278" s="42">
        <v>1</v>
      </c>
      <c r="C278" s="42" t="s">
        <v>634</v>
      </c>
      <c r="D278" s="42">
        <v>176</v>
      </c>
      <c r="E278" s="42" t="s">
        <v>635</v>
      </c>
      <c r="F278" s="42" t="s">
        <v>696</v>
      </c>
      <c r="G278" s="42">
        <v>11417</v>
      </c>
      <c r="H278" s="42" t="s">
        <v>697</v>
      </c>
      <c r="I278" s="42">
        <v>922309.94</v>
      </c>
      <c r="J278" s="42">
        <v>922309.94</v>
      </c>
      <c r="K278" s="42" t="b">
        <v>0</v>
      </c>
      <c r="L278" s="42">
        <v>5</v>
      </c>
      <c r="M278" s="42" t="s">
        <v>108</v>
      </c>
      <c r="N278" s="42">
        <v>27</v>
      </c>
      <c r="O278" s="42" t="s">
        <v>129</v>
      </c>
      <c r="P278" s="42">
        <v>212</v>
      </c>
      <c r="Q278" s="42" t="s">
        <v>350</v>
      </c>
      <c r="R278" s="42" t="s">
        <v>114</v>
      </c>
      <c r="U278" s="42" t="s">
        <v>115</v>
      </c>
      <c r="V278" s="42">
        <v>1</v>
      </c>
      <c r="W278" s="42" t="s">
        <v>116</v>
      </c>
      <c r="X278" s="42">
        <v>18</v>
      </c>
      <c r="Y278" s="42" t="s">
        <v>117</v>
      </c>
      <c r="Z278" s="42">
        <v>7946.1252999999997</v>
      </c>
      <c r="AA278" s="42">
        <v>116.07040000000001</v>
      </c>
      <c r="AB278" s="42" t="s">
        <v>36</v>
      </c>
      <c r="AC278" s="42">
        <v>1</v>
      </c>
      <c r="AD278" s="42">
        <v>1</v>
      </c>
      <c r="AE278" s="42">
        <v>922309.94</v>
      </c>
    </row>
    <row r="279" spans="1:31" x14ac:dyDescent="0.2">
      <c r="A279" s="42" t="s">
        <v>917</v>
      </c>
      <c r="B279" s="42">
        <v>1</v>
      </c>
      <c r="C279" s="42" t="s">
        <v>634</v>
      </c>
      <c r="D279" s="42">
        <v>176</v>
      </c>
      <c r="E279" s="42" t="s">
        <v>635</v>
      </c>
      <c r="F279" s="42" t="s">
        <v>698</v>
      </c>
      <c r="G279" s="42">
        <v>11553</v>
      </c>
      <c r="H279" s="42" t="s">
        <v>699</v>
      </c>
      <c r="I279" s="42">
        <v>934241.51</v>
      </c>
      <c r="J279" s="42">
        <v>934241.51</v>
      </c>
      <c r="K279" s="42" t="b">
        <v>0</v>
      </c>
      <c r="L279" s="42">
        <v>14</v>
      </c>
      <c r="M279" s="42" t="s">
        <v>331</v>
      </c>
      <c r="N279" s="42">
        <v>1</v>
      </c>
      <c r="O279" s="42" t="s">
        <v>112</v>
      </c>
      <c r="P279" s="42">
        <v>247</v>
      </c>
      <c r="Q279" s="42" t="s">
        <v>700</v>
      </c>
      <c r="R279" s="42" t="s">
        <v>114</v>
      </c>
      <c r="U279" s="42" t="s">
        <v>121</v>
      </c>
      <c r="V279" s="42">
        <v>1</v>
      </c>
      <c r="W279" s="42" t="s">
        <v>116</v>
      </c>
      <c r="X279" s="42">
        <v>18</v>
      </c>
      <c r="Y279" s="42" t="s">
        <v>117</v>
      </c>
      <c r="Z279" s="42">
        <v>369996.636</v>
      </c>
      <c r="AA279" s="42">
        <v>2.5249999999999999</v>
      </c>
      <c r="AB279" s="42" t="s">
        <v>36</v>
      </c>
      <c r="AC279" s="42">
        <v>1</v>
      </c>
      <c r="AD279" s="42">
        <v>1</v>
      </c>
      <c r="AE279" s="42">
        <v>934241.51</v>
      </c>
    </row>
    <row r="280" spans="1:31" x14ac:dyDescent="0.2">
      <c r="A280" s="42" t="s">
        <v>917</v>
      </c>
      <c r="B280" s="42">
        <v>1</v>
      </c>
      <c r="C280" s="42" t="s">
        <v>634</v>
      </c>
      <c r="D280" s="42">
        <v>176</v>
      </c>
      <c r="E280" s="42" t="s">
        <v>635</v>
      </c>
      <c r="F280" s="42" t="s">
        <v>701</v>
      </c>
      <c r="G280" s="42">
        <v>11773</v>
      </c>
      <c r="H280" s="42" t="s">
        <v>702</v>
      </c>
      <c r="I280" s="42">
        <v>118.92</v>
      </c>
      <c r="J280" s="42">
        <v>118.92</v>
      </c>
      <c r="K280" s="42" t="b">
        <v>0</v>
      </c>
      <c r="L280" s="42">
        <v>11</v>
      </c>
      <c r="M280" s="42" t="s">
        <v>238</v>
      </c>
      <c r="N280" s="42">
        <v>1</v>
      </c>
      <c r="O280" s="42" t="s">
        <v>112</v>
      </c>
      <c r="P280" s="42">
        <v>80</v>
      </c>
      <c r="Q280" s="42" t="s">
        <v>213</v>
      </c>
      <c r="R280" s="42" t="s">
        <v>114</v>
      </c>
      <c r="U280" s="42" t="s">
        <v>121</v>
      </c>
      <c r="V280" s="42">
        <v>1</v>
      </c>
      <c r="W280" s="42" t="s">
        <v>116</v>
      </c>
      <c r="X280" s="42">
        <v>18</v>
      </c>
      <c r="Y280" s="42" t="s">
        <v>117</v>
      </c>
      <c r="Z280" s="42">
        <v>100</v>
      </c>
      <c r="AA280" s="42">
        <v>1.1892</v>
      </c>
      <c r="AB280" s="42" t="s">
        <v>36</v>
      </c>
      <c r="AC280" s="42">
        <v>1</v>
      </c>
      <c r="AD280" s="42">
        <v>1</v>
      </c>
      <c r="AE280" s="42">
        <v>118.92</v>
      </c>
    </row>
    <row r="281" spans="1:31" x14ac:dyDescent="0.2">
      <c r="A281" s="42" t="s">
        <v>917</v>
      </c>
      <c r="B281" s="42">
        <v>1</v>
      </c>
      <c r="C281" s="42" t="s">
        <v>634</v>
      </c>
      <c r="D281" s="42">
        <v>176</v>
      </c>
      <c r="E281" s="42" t="s">
        <v>635</v>
      </c>
      <c r="F281" s="42" t="s">
        <v>703</v>
      </c>
      <c r="G281" s="42">
        <v>11920</v>
      </c>
      <c r="H281" s="42" t="s">
        <v>704</v>
      </c>
      <c r="I281" s="42">
        <v>115.3</v>
      </c>
      <c r="J281" s="42">
        <v>115.3</v>
      </c>
      <c r="K281" s="42" t="b">
        <v>0</v>
      </c>
      <c r="L281" s="42">
        <v>5</v>
      </c>
      <c r="M281" s="42" t="s">
        <v>108</v>
      </c>
      <c r="N281" s="42">
        <v>29</v>
      </c>
      <c r="O281" s="42" t="s">
        <v>142</v>
      </c>
      <c r="P281" s="42">
        <v>3</v>
      </c>
      <c r="Q281" s="42" t="s">
        <v>325</v>
      </c>
      <c r="R281" s="42" t="s">
        <v>114</v>
      </c>
      <c r="U281" s="42" t="s">
        <v>121</v>
      </c>
      <c r="V281" s="42">
        <v>1</v>
      </c>
      <c r="W281" s="42" t="s">
        <v>116</v>
      </c>
      <c r="X281" s="42">
        <v>18</v>
      </c>
      <c r="Y281" s="42" t="s">
        <v>117</v>
      </c>
      <c r="Z281" s="42">
        <v>100</v>
      </c>
      <c r="AA281" s="42">
        <v>1.153</v>
      </c>
      <c r="AB281" s="42" t="s">
        <v>36</v>
      </c>
      <c r="AC281" s="42">
        <v>1</v>
      </c>
      <c r="AD281" s="42">
        <v>1</v>
      </c>
      <c r="AE281" s="42">
        <v>115.3</v>
      </c>
    </row>
    <row r="282" spans="1:31" x14ac:dyDescent="0.2">
      <c r="A282" s="42" t="s">
        <v>917</v>
      </c>
      <c r="B282" s="42">
        <v>1</v>
      </c>
      <c r="C282" s="42" t="s">
        <v>634</v>
      </c>
      <c r="D282" s="42">
        <v>176</v>
      </c>
      <c r="E282" s="42" t="s">
        <v>635</v>
      </c>
      <c r="F282" s="42" t="s">
        <v>705</v>
      </c>
      <c r="G282" s="42">
        <v>11962</v>
      </c>
      <c r="H282" s="42" t="s">
        <v>706</v>
      </c>
      <c r="I282" s="42">
        <v>12250.9</v>
      </c>
      <c r="J282" s="42">
        <v>12250.9</v>
      </c>
      <c r="K282" s="42" t="b">
        <v>0</v>
      </c>
      <c r="L282" s="42">
        <v>11</v>
      </c>
      <c r="M282" s="42" t="s">
        <v>238</v>
      </c>
      <c r="N282" s="42">
        <v>1</v>
      </c>
      <c r="O282" s="42" t="s">
        <v>112</v>
      </c>
      <c r="P282" s="42">
        <v>63</v>
      </c>
      <c r="Q282" s="42" t="s">
        <v>324</v>
      </c>
      <c r="R282" s="42" t="s">
        <v>114</v>
      </c>
      <c r="U282" s="42" t="s">
        <v>115</v>
      </c>
      <c r="V282" s="42">
        <v>1</v>
      </c>
      <c r="W282" s="42" t="s">
        <v>116</v>
      </c>
      <c r="X282" s="42">
        <v>18</v>
      </c>
      <c r="Y282" s="42" t="s">
        <v>117</v>
      </c>
      <c r="Z282" s="42">
        <v>100</v>
      </c>
      <c r="AA282" s="42">
        <v>122.509</v>
      </c>
      <c r="AB282" s="42" t="s">
        <v>36</v>
      </c>
      <c r="AC282" s="42">
        <v>1</v>
      </c>
      <c r="AD282" s="42">
        <v>1</v>
      </c>
      <c r="AE282" s="42">
        <v>12250.9</v>
      </c>
    </row>
    <row r="283" spans="1:31" x14ac:dyDescent="0.2">
      <c r="A283" s="42" t="s">
        <v>917</v>
      </c>
      <c r="B283" s="42">
        <v>1</v>
      </c>
      <c r="C283" s="42" t="s">
        <v>634</v>
      </c>
      <c r="D283" s="42">
        <v>176</v>
      </c>
      <c r="E283" s="42" t="s">
        <v>635</v>
      </c>
      <c r="F283" s="42" t="s">
        <v>707</v>
      </c>
      <c r="G283" s="42">
        <v>11963</v>
      </c>
      <c r="H283" s="42" t="s">
        <v>708</v>
      </c>
      <c r="I283" s="42">
        <v>129.69999999999999</v>
      </c>
      <c r="J283" s="42">
        <v>129.69999999999999</v>
      </c>
      <c r="K283" s="42" t="b">
        <v>0</v>
      </c>
      <c r="L283" s="42">
        <v>11</v>
      </c>
      <c r="M283" s="42" t="s">
        <v>238</v>
      </c>
      <c r="N283" s="42">
        <v>1</v>
      </c>
      <c r="O283" s="42" t="s">
        <v>112</v>
      </c>
      <c r="P283" s="42">
        <v>63</v>
      </c>
      <c r="Q283" s="42" t="s">
        <v>324</v>
      </c>
      <c r="R283" s="42" t="s">
        <v>114</v>
      </c>
      <c r="U283" s="42" t="s">
        <v>121</v>
      </c>
      <c r="V283" s="42">
        <v>1</v>
      </c>
      <c r="W283" s="42" t="s">
        <v>116</v>
      </c>
      <c r="X283" s="42">
        <v>18</v>
      </c>
      <c r="Y283" s="42" t="s">
        <v>117</v>
      </c>
      <c r="Z283" s="42">
        <v>100</v>
      </c>
      <c r="AA283" s="42">
        <v>1.2969999999999999</v>
      </c>
      <c r="AB283" s="42" t="s">
        <v>36</v>
      </c>
      <c r="AC283" s="42">
        <v>1</v>
      </c>
      <c r="AD283" s="42">
        <v>1</v>
      </c>
      <c r="AE283" s="42">
        <v>129.69999999999999</v>
      </c>
    </row>
    <row r="284" spans="1:31" x14ac:dyDescent="0.2">
      <c r="A284" s="42" t="s">
        <v>917</v>
      </c>
      <c r="B284" s="42">
        <v>1</v>
      </c>
      <c r="C284" s="42" t="s">
        <v>634</v>
      </c>
      <c r="D284" s="42">
        <v>176</v>
      </c>
      <c r="E284" s="42" t="s">
        <v>635</v>
      </c>
      <c r="F284" s="42" t="s">
        <v>709</v>
      </c>
      <c r="G284" s="42">
        <v>11964</v>
      </c>
      <c r="H284" s="42" t="s">
        <v>710</v>
      </c>
      <c r="I284" s="42">
        <v>862</v>
      </c>
      <c r="J284" s="42">
        <v>862</v>
      </c>
      <c r="K284" s="42" t="b">
        <v>0</v>
      </c>
      <c r="L284" s="42">
        <v>5</v>
      </c>
      <c r="M284" s="42" t="s">
        <v>108</v>
      </c>
      <c r="N284" s="42">
        <v>1</v>
      </c>
      <c r="O284" s="42" t="s">
        <v>112</v>
      </c>
      <c r="P284" s="42">
        <v>51</v>
      </c>
      <c r="Q284" s="42" t="s">
        <v>112</v>
      </c>
      <c r="R284" s="42" t="s">
        <v>114</v>
      </c>
      <c r="U284" s="42" t="s">
        <v>115</v>
      </c>
      <c r="V284" s="42">
        <v>1</v>
      </c>
      <c r="W284" s="42" t="s">
        <v>116</v>
      </c>
      <c r="X284" s="42">
        <v>18</v>
      </c>
      <c r="Y284" s="42" t="s">
        <v>117</v>
      </c>
      <c r="Z284" s="42">
        <v>100</v>
      </c>
      <c r="AA284" s="42">
        <v>8.6199999999999992</v>
      </c>
      <c r="AB284" s="42" t="s">
        <v>36</v>
      </c>
      <c r="AC284" s="42">
        <v>1</v>
      </c>
      <c r="AD284" s="42">
        <v>1</v>
      </c>
      <c r="AE284" s="42">
        <v>862</v>
      </c>
    </row>
    <row r="285" spans="1:31" x14ac:dyDescent="0.2">
      <c r="A285" s="42" t="s">
        <v>917</v>
      </c>
      <c r="B285" s="42">
        <v>1</v>
      </c>
      <c r="C285" s="42" t="s">
        <v>297</v>
      </c>
      <c r="D285" s="42">
        <v>199</v>
      </c>
      <c r="E285" s="42" t="s">
        <v>390</v>
      </c>
      <c r="F285" s="42" t="s">
        <v>235</v>
      </c>
      <c r="G285" s="42">
        <v>3979</v>
      </c>
      <c r="H285" s="42" t="s">
        <v>236</v>
      </c>
      <c r="I285" s="42">
        <v>3260000</v>
      </c>
      <c r="J285" s="42">
        <v>3272000</v>
      </c>
      <c r="K285" s="42" t="b">
        <v>1</v>
      </c>
      <c r="L285" s="42">
        <v>4</v>
      </c>
      <c r="M285" s="42" t="s">
        <v>128</v>
      </c>
      <c r="N285" s="42">
        <v>1</v>
      </c>
      <c r="O285" s="42" t="s">
        <v>112</v>
      </c>
      <c r="P285" s="42">
        <v>51</v>
      </c>
      <c r="Q285" s="42" t="s">
        <v>112</v>
      </c>
      <c r="R285" s="42" t="s">
        <v>204</v>
      </c>
      <c r="S285" s="42">
        <v>1</v>
      </c>
      <c r="T285" s="42" t="s">
        <v>205</v>
      </c>
      <c r="U285" s="42" t="s">
        <v>229</v>
      </c>
      <c r="V285" s="42">
        <v>9</v>
      </c>
      <c r="W285" s="42" t="s">
        <v>206</v>
      </c>
      <c r="X285" s="42">
        <v>4</v>
      </c>
      <c r="Y285" s="42" t="s">
        <v>230</v>
      </c>
      <c r="Z285" s="42">
        <v>4000000</v>
      </c>
      <c r="AA285" s="42">
        <v>0.81799999999999995</v>
      </c>
      <c r="AB285" s="42" t="s">
        <v>36</v>
      </c>
      <c r="AC285" s="42">
        <v>1</v>
      </c>
      <c r="AD285" s="42">
        <v>1</v>
      </c>
      <c r="AE285" s="42">
        <v>3272000</v>
      </c>
    </row>
    <row r="286" spans="1:31" x14ac:dyDescent="0.2">
      <c r="A286" s="42" t="s">
        <v>917</v>
      </c>
      <c r="B286" s="42">
        <v>1</v>
      </c>
      <c r="C286" s="42" t="s">
        <v>297</v>
      </c>
      <c r="D286" s="42">
        <v>199</v>
      </c>
      <c r="E286" s="42" t="s">
        <v>390</v>
      </c>
      <c r="F286" s="42" t="s">
        <v>711</v>
      </c>
      <c r="G286" s="42">
        <v>4234</v>
      </c>
      <c r="H286" s="42" t="s">
        <v>712</v>
      </c>
      <c r="I286" s="42">
        <v>2164485.84</v>
      </c>
      <c r="J286" s="42">
        <v>2185874.04</v>
      </c>
      <c r="K286" s="42" t="b">
        <v>1</v>
      </c>
      <c r="L286" s="42">
        <v>2</v>
      </c>
      <c r="M286" s="42" t="s">
        <v>248</v>
      </c>
      <c r="N286" s="42">
        <v>3</v>
      </c>
      <c r="O286" s="42" t="s">
        <v>154</v>
      </c>
      <c r="P286" s="42">
        <v>180</v>
      </c>
      <c r="Q286" s="42" t="s">
        <v>214</v>
      </c>
      <c r="R286" s="42" t="s">
        <v>204</v>
      </c>
      <c r="S286" s="42">
        <v>1</v>
      </c>
      <c r="T286" s="42" t="s">
        <v>205</v>
      </c>
      <c r="U286" s="42" t="s">
        <v>121</v>
      </c>
      <c r="V286" s="42">
        <v>9</v>
      </c>
      <c r="W286" s="42" t="s">
        <v>206</v>
      </c>
      <c r="X286" s="42">
        <v>4</v>
      </c>
      <c r="Y286" s="42" t="s">
        <v>230</v>
      </c>
      <c r="Z286" s="42">
        <v>1711056</v>
      </c>
      <c r="AA286" s="42">
        <v>1.2775000000000001</v>
      </c>
      <c r="AB286" s="42" t="s">
        <v>36</v>
      </c>
      <c r="AC286" s="42">
        <v>1</v>
      </c>
      <c r="AD286" s="42">
        <v>1</v>
      </c>
      <c r="AE286" s="42">
        <v>2185874.04</v>
      </c>
    </row>
    <row r="287" spans="1:31" x14ac:dyDescent="0.2">
      <c r="A287" s="42" t="s">
        <v>917</v>
      </c>
      <c r="B287" s="42">
        <v>1</v>
      </c>
      <c r="C287" s="42" t="s">
        <v>297</v>
      </c>
      <c r="D287" s="42">
        <v>199</v>
      </c>
      <c r="E287" s="42" t="s">
        <v>390</v>
      </c>
      <c r="F287" s="42" t="s">
        <v>274</v>
      </c>
      <c r="G287" s="42">
        <v>6154</v>
      </c>
      <c r="H287" s="42" t="s">
        <v>379</v>
      </c>
      <c r="I287" s="42">
        <v>1101600</v>
      </c>
      <c r="J287" s="42">
        <v>1115370</v>
      </c>
      <c r="K287" s="42" t="b">
        <v>1</v>
      </c>
      <c r="L287" s="42">
        <v>2</v>
      </c>
      <c r="M287" s="42" t="s">
        <v>248</v>
      </c>
      <c r="N287" s="42">
        <v>2</v>
      </c>
      <c r="O287" s="42" t="s">
        <v>122</v>
      </c>
      <c r="P287" s="42">
        <v>180</v>
      </c>
      <c r="Q287" s="42" t="s">
        <v>214</v>
      </c>
      <c r="R287" s="42" t="s">
        <v>204</v>
      </c>
      <c r="S287" s="42">
        <v>1</v>
      </c>
      <c r="T287" s="42" t="s">
        <v>205</v>
      </c>
      <c r="U287" s="42" t="s">
        <v>233</v>
      </c>
      <c r="V287" s="42">
        <v>9</v>
      </c>
      <c r="W287" s="42" t="s">
        <v>206</v>
      </c>
      <c r="X287" s="42">
        <v>4</v>
      </c>
      <c r="Y287" s="42" t="s">
        <v>230</v>
      </c>
      <c r="Z287" s="42">
        <v>1530000</v>
      </c>
      <c r="AA287" s="42">
        <v>0.72899999999999998</v>
      </c>
      <c r="AB287" s="42" t="s">
        <v>36</v>
      </c>
      <c r="AC287" s="42">
        <v>1</v>
      </c>
      <c r="AD287" s="42">
        <v>1</v>
      </c>
      <c r="AE287" s="42">
        <v>1115370</v>
      </c>
    </row>
    <row r="288" spans="1:31" x14ac:dyDescent="0.2">
      <c r="A288" s="42" t="s">
        <v>917</v>
      </c>
      <c r="B288" s="42">
        <v>1</v>
      </c>
      <c r="C288" s="42" t="s">
        <v>297</v>
      </c>
      <c r="D288" s="42">
        <v>199</v>
      </c>
      <c r="E288" s="42" t="s">
        <v>390</v>
      </c>
      <c r="F288" s="42" t="s">
        <v>609</v>
      </c>
      <c r="G288" s="42">
        <v>6391</v>
      </c>
      <c r="H288" s="42" t="s">
        <v>610</v>
      </c>
      <c r="I288" s="42">
        <v>10284397.199999999</v>
      </c>
      <c r="J288" s="42">
        <v>10288231.800000001</v>
      </c>
      <c r="K288" s="42" t="b">
        <v>1</v>
      </c>
      <c r="L288" s="42">
        <v>4</v>
      </c>
      <c r="M288" s="42" t="s">
        <v>128</v>
      </c>
      <c r="N288" s="42">
        <v>4</v>
      </c>
      <c r="O288" s="42" t="s">
        <v>109</v>
      </c>
      <c r="P288" s="42">
        <v>197</v>
      </c>
      <c r="Q288" s="42" t="s">
        <v>247</v>
      </c>
      <c r="R288" s="42" t="s">
        <v>204</v>
      </c>
      <c r="S288" s="42">
        <v>1</v>
      </c>
      <c r="T288" s="42" t="s">
        <v>205</v>
      </c>
      <c r="U288" s="42" t="s">
        <v>115</v>
      </c>
      <c r="V288" s="42">
        <v>1</v>
      </c>
      <c r="W288" s="42" t="s">
        <v>116</v>
      </c>
      <c r="X288" s="42">
        <v>22</v>
      </c>
      <c r="Y288" s="42" t="s">
        <v>217</v>
      </c>
      <c r="Z288" s="42">
        <v>2191200</v>
      </c>
      <c r="AA288" s="42">
        <v>4.6952499999999997</v>
      </c>
      <c r="AB288" s="42" t="s">
        <v>36</v>
      </c>
      <c r="AC288" s="42">
        <v>1</v>
      </c>
      <c r="AD288" s="42">
        <v>1</v>
      </c>
      <c r="AE288" s="42">
        <v>10288231.800000001</v>
      </c>
    </row>
    <row r="289" spans="1:31" x14ac:dyDescent="0.2">
      <c r="A289" s="42" t="s">
        <v>917</v>
      </c>
      <c r="B289" s="42">
        <v>1</v>
      </c>
      <c r="C289" s="42" t="s">
        <v>297</v>
      </c>
      <c r="D289" s="42">
        <v>199</v>
      </c>
      <c r="E289" s="42" t="s">
        <v>390</v>
      </c>
      <c r="F289" s="42" t="s">
        <v>713</v>
      </c>
      <c r="G289" s="42">
        <v>10064</v>
      </c>
      <c r="H289" s="42" t="s">
        <v>714</v>
      </c>
      <c r="I289" s="42">
        <v>8087585.5899999999</v>
      </c>
      <c r="J289" s="42">
        <v>8087585.5899999999</v>
      </c>
      <c r="K289" s="42" t="b">
        <v>0</v>
      </c>
      <c r="L289" s="42">
        <v>4</v>
      </c>
      <c r="M289" s="42" t="s">
        <v>128</v>
      </c>
      <c r="N289" s="42">
        <v>1</v>
      </c>
      <c r="O289" s="42" t="s">
        <v>112</v>
      </c>
      <c r="P289" s="42">
        <v>16</v>
      </c>
      <c r="Q289" s="42" t="s">
        <v>335</v>
      </c>
      <c r="R289" s="42" t="s">
        <v>114</v>
      </c>
      <c r="U289" s="42" t="s">
        <v>115</v>
      </c>
      <c r="V289" s="42">
        <v>1</v>
      </c>
      <c r="W289" s="42" t="s">
        <v>116</v>
      </c>
      <c r="X289" s="42">
        <v>18</v>
      </c>
      <c r="Y289" s="42" t="s">
        <v>117</v>
      </c>
      <c r="Z289" s="42">
        <v>927517.95799999998</v>
      </c>
      <c r="AA289" s="42">
        <v>8.7195999999999998</v>
      </c>
      <c r="AB289" s="42" t="s">
        <v>36</v>
      </c>
      <c r="AC289" s="42">
        <v>1</v>
      </c>
      <c r="AD289" s="42">
        <v>1</v>
      </c>
      <c r="AE289" s="42">
        <v>8087585.5899999999</v>
      </c>
    </row>
    <row r="290" spans="1:31" x14ac:dyDescent="0.2">
      <c r="A290" s="42" t="s">
        <v>917</v>
      </c>
      <c r="B290" s="42">
        <v>1</v>
      </c>
      <c r="C290" s="42" t="s">
        <v>297</v>
      </c>
      <c r="D290" s="42">
        <v>199</v>
      </c>
      <c r="E290" s="42" t="s">
        <v>390</v>
      </c>
      <c r="F290" s="42" t="s">
        <v>715</v>
      </c>
      <c r="G290" s="42">
        <v>10067</v>
      </c>
      <c r="H290" s="42" t="s">
        <v>716</v>
      </c>
      <c r="I290" s="42">
        <v>5050561.2300000004</v>
      </c>
      <c r="J290" s="42">
        <v>5050561.2300000004</v>
      </c>
      <c r="K290" s="42" t="b">
        <v>0</v>
      </c>
      <c r="L290" s="42">
        <v>4</v>
      </c>
      <c r="M290" s="42" t="s">
        <v>128</v>
      </c>
      <c r="N290" s="42">
        <v>5</v>
      </c>
      <c r="O290" s="42" t="s">
        <v>143</v>
      </c>
      <c r="P290" s="42">
        <v>89</v>
      </c>
      <c r="Q290" s="42" t="s">
        <v>337</v>
      </c>
      <c r="R290" s="42" t="s">
        <v>114</v>
      </c>
      <c r="U290" s="42" t="s">
        <v>115</v>
      </c>
      <c r="V290" s="42">
        <v>1</v>
      </c>
      <c r="W290" s="42" t="s">
        <v>116</v>
      </c>
      <c r="X290" s="42">
        <v>18</v>
      </c>
      <c r="Y290" s="42" t="s">
        <v>117</v>
      </c>
      <c r="Z290" s="42">
        <v>625844.01899999997</v>
      </c>
      <c r="AA290" s="42">
        <v>8.07</v>
      </c>
      <c r="AB290" s="42" t="s">
        <v>36</v>
      </c>
      <c r="AC290" s="42">
        <v>1</v>
      </c>
      <c r="AD290" s="42">
        <v>1</v>
      </c>
      <c r="AE290" s="42">
        <v>5050561.2300000004</v>
      </c>
    </row>
    <row r="291" spans="1:31" x14ac:dyDescent="0.2">
      <c r="A291" s="42" t="s">
        <v>917</v>
      </c>
      <c r="B291" s="42">
        <v>1</v>
      </c>
      <c r="C291" s="42" t="s">
        <v>297</v>
      </c>
      <c r="D291" s="42">
        <v>199</v>
      </c>
      <c r="E291" s="42" t="s">
        <v>390</v>
      </c>
      <c r="F291" s="42" t="s">
        <v>717</v>
      </c>
      <c r="G291" s="42">
        <v>10069</v>
      </c>
      <c r="H291" s="42" t="s">
        <v>718</v>
      </c>
      <c r="I291" s="42">
        <v>11387203.74</v>
      </c>
      <c r="J291" s="42">
        <v>11387203.74</v>
      </c>
      <c r="K291" s="42" t="b">
        <v>0</v>
      </c>
      <c r="L291" s="42">
        <v>4</v>
      </c>
      <c r="M291" s="42" t="s">
        <v>128</v>
      </c>
      <c r="N291" s="42">
        <v>1</v>
      </c>
      <c r="O291" s="42" t="s">
        <v>112</v>
      </c>
      <c r="P291" s="42">
        <v>37</v>
      </c>
      <c r="Q291" s="42" t="s">
        <v>321</v>
      </c>
      <c r="R291" s="42" t="s">
        <v>114</v>
      </c>
      <c r="U291" s="42" t="s">
        <v>115</v>
      </c>
      <c r="V291" s="42">
        <v>1</v>
      </c>
      <c r="W291" s="42" t="s">
        <v>116</v>
      </c>
      <c r="X291" s="42">
        <v>18</v>
      </c>
      <c r="Y291" s="42" t="s">
        <v>117</v>
      </c>
      <c r="Z291" s="42">
        <v>96091.140599999999</v>
      </c>
      <c r="AA291" s="42">
        <v>118.5042</v>
      </c>
      <c r="AB291" s="42" t="s">
        <v>36</v>
      </c>
      <c r="AC291" s="42">
        <v>1</v>
      </c>
      <c r="AD291" s="42">
        <v>1</v>
      </c>
      <c r="AE291" s="42">
        <v>11387203.74</v>
      </c>
    </row>
    <row r="292" spans="1:31" x14ac:dyDescent="0.2">
      <c r="A292" s="42" t="s">
        <v>917</v>
      </c>
      <c r="B292" s="42">
        <v>1</v>
      </c>
      <c r="C292" s="42" t="s">
        <v>297</v>
      </c>
      <c r="D292" s="42">
        <v>199</v>
      </c>
      <c r="E292" s="42" t="s">
        <v>390</v>
      </c>
      <c r="F292" s="42" t="s">
        <v>719</v>
      </c>
      <c r="G292" s="42">
        <v>10105</v>
      </c>
      <c r="H292" s="42" t="s">
        <v>720</v>
      </c>
      <c r="I292" s="42">
        <v>11982201.9</v>
      </c>
      <c r="J292" s="42">
        <v>11982201.9</v>
      </c>
      <c r="K292" s="42" t="b">
        <v>0</v>
      </c>
      <c r="L292" s="42">
        <v>4</v>
      </c>
      <c r="M292" s="42" t="s">
        <v>128</v>
      </c>
      <c r="N292" s="42">
        <v>1</v>
      </c>
      <c r="O292" s="42" t="s">
        <v>112</v>
      </c>
      <c r="P292" s="42">
        <v>14</v>
      </c>
      <c r="Q292" s="42" t="s">
        <v>323</v>
      </c>
      <c r="R292" s="42" t="s">
        <v>114</v>
      </c>
      <c r="U292" s="42" t="s">
        <v>121</v>
      </c>
      <c r="V292" s="42">
        <v>1</v>
      </c>
      <c r="W292" s="42" t="s">
        <v>116</v>
      </c>
      <c r="X292" s="42">
        <v>18</v>
      </c>
      <c r="Y292" s="42" t="s">
        <v>117</v>
      </c>
      <c r="Z292" s="42">
        <v>13380459.970000001</v>
      </c>
      <c r="AA292" s="42">
        <v>0.89549999999999996</v>
      </c>
      <c r="AB292" s="42" t="s">
        <v>36</v>
      </c>
      <c r="AC292" s="42">
        <v>1</v>
      </c>
      <c r="AD292" s="42">
        <v>1</v>
      </c>
      <c r="AE292" s="42">
        <v>11982201.9</v>
      </c>
    </row>
    <row r="293" spans="1:31" x14ac:dyDescent="0.2">
      <c r="A293" s="42" t="s">
        <v>917</v>
      </c>
      <c r="B293" s="42">
        <v>1</v>
      </c>
      <c r="C293" s="42" t="s">
        <v>297</v>
      </c>
      <c r="D293" s="42">
        <v>199</v>
      </c>
      <c r="E293" s="42" t="s">
        <v>390</v>
      </c>
      <c r="F293" s="42" t="s">
        <v>721</v>
      </c>
      <c r="G293" s="42">
        <v>10256</v>
      </c>
      <c r="H293" s="42" t="s">
        <v>722</v>
      </c>
      <c r="I293" s="42">
        <v>5592631.4199999999</v>
      </c>
      <c r="J293" s="42">
        <v>5592631.4199999999</v>
      </c>
      <c r="K293" s="42" t="b">
        <v>0</v>
      </c>
      <c r="L293" s="42">
        <v>4</v>
      </c>
      <c r="M293" s="42" t="s">
        <v>128</v>
      </c>
      <c r="N293" s="42">
        <v>1</v>
      </c>
      <c r="O293" s="42" t="s">
        <v>112</v>
      </c>
      <c r="P293" s="42">
        <v>131</v>
      </c>
      <c r="Q293" s="42" t="s">
        <v>723</v>
      </c>
      <c r="R293" s="42" t="s">
        <v>114</v>
      </c>
      <c r="U293" s="42" t="s">
        <v>115</v>
      </c>
      <c r="V293" s="42">
        <v>1</v>
      </c>
      <c r="W293" s="42" t="s">
        <v>116</v>
      </c>
      <c r="X293" s="42">
        <v>18</v>
      </c>
      <c r="Y293" s="42" t="s">
        <v>117</v>
      </c>
      <c r="Z293" s="42">
        <v>59626.495999999999</v>
      </c>
      <c r="AA293" s="42">
        <v>93.794399999999996</v>
      </c>
      <c r="AB293" s="42" t="s">
        <v>36</v>
      </c>
      <c r="AC293" s="42">
        <v>1</v>
      </c>
      <c r="AD293" s="42">
        <v>1</v>
      </c>
      <c r="AE293" s="42">
        <v>5592631.4199999999</v>
      </c>
    </row>
    <row r="294" spans="1:31" x14ac:dyDescent="0.2">
      <c r="A294" s="42" t="s">
        <v>917</v>
      </c>
      <c r="B294" s="42">
        <v>1</v>
      </c>
      <c r="C294" s="42" t="s">
        <v>297</v>
      </c>
      <c r="D294" s="42">
        <v>199</v>
      </c>
      <c r="E294" s="42" t="s">
        <v>390</v>
      </c>
      <c r="F294" s="42" t="s">
        <v>724</v>
      </c>
      <c r="G294" s="42">
        <v>10490</v>
      </c>
      <c r="H294" s="42" t="s">
        <v>725</v>
      </c>
      <c r="I294" s="42">
        <v>1549230.77</v>
      </c>
      <c r="J294" s="42">
        <v>1581506.41</v>
      </c>
      <c r="K294" s="42" t="b">
        <v>1</v>
      </c>
      <c r="L294" s="42">
        <v>4</v>
      </c>
      <c r="M294" s="42" t="s">
        <v>128</v>
      </c>
      <c r="N294" s="42">
        <v>1</v>
      </c>
      <c r="O294" s="42" t="s">
        <v>112</v>
      </c>
      <c r="P294" s="42">
        <v>81</v>
      </c>
      <c r="Q294" s="42" t="s">
        <v>250</v>
      </c>
      <c r="R294" s="42" t="s">
        <v>204</v>
      </c>
      <c r="S294" s="42">
        <v>1</v>
      </c>
      <c r="T294" s="42" t="s">
        <v>205</v>
      </c>
      <c r="U294" s="42" t="s">
        <v>229</v>
      </c>
      <c r="V294" s="42">
        <v>9</v>
      </c>
      <c r="W294" s="42" t="s">
        <v>206</v>
      </c>
      <c r="X294" s="42">
        <v>4</v>
      </c>
      <c r="Y294" s="42" t="s">
        <v>230</v>
      </c>
      <c r="Z294" s="42">
        <v>4028000</v>
      </c>
      <c r="AA294" s="42">
        <v>0.49</v>
      </c>
      <c r="AB294" s="42" t="s">
        <v>35</v>
      </c>
      <c r="AC294" s="42">
        <v>1.248</v>
      </c>
      <c r="AD294" s="42">
        <v>1</v>
      </c>
      <c r="AE294" s="42">
        <v>1581506.41</v>
      </c>
    </row>
    <row r="295" spans="1:31" x14ac:dyDescent="0.2">
      <c r="A295" s="42" t="s">
        <v>917</v>
      </c>
      <c r="B295" s="42">
        <v>1</v>
      </c>
      <c r="C295" s="42" t="s">
        <v>297</v>
      </c>
      <c r="D295" s="42">
        <v>199</v>
      </c>
      <c r="E295" s="42" t="s">
        <v>390</v>
      </c>
      <c r="F295" s="42" t="s">
        <v>726</v>
      </c>
      <c r="G295" s="42">
        <v>11400</v>
      </c>
      <c r="H295" s="42" t="s">
        <v>727</v>
      </c>
      <c r="I295" s="42">
        <v>11216423.199999999</v>
      </c>
      <c r="J295" s="42">
        <v>11216423.199999999</v>
      </c>
      <c r="K295" s="42" t="b">
        <v>0</v>
      </c>
      <c r="L295" s="42">
        <v>4</v>
      </c>
      <c r="M295" s="42" t="s">
        <v>128</v>
      </c>
      <c r="N295" s="42">
        <v>2</v>
      </c>
      <c r="O295" s="42" t="s">
        <v>122</v>
      </c>
      <c r="P295" s="42">
        <v>108</v>
      </c>
      <c r="Q295" s="42" t="s">
        <v>319</v>
      </c>
      <c r="R295" s="42" t="s">
        <v>114</v>
      </c>
      <c r="U295" s="42" t="s">
        <v>121</v>
      </c>
      <c r="V295" s="42">
        <v>1</v>
      </c>
      <c r="W295" s="42" t="s">
        <v>116</v>
      </c>
      <c r="X295" s="42">
        <v>18</v>
      </c>
      <c r="Y295" s="42" t="s">
        <v>117</v>
      </c>
      <c r="Z295" s="42">
        <v>13004548.6394</v>
      </c>
      <c r="AA295" s="42">
        <v>0.86250000000000004</v>
      </c>
      <c r="AB295" s="42" t="s">
        <v>36</v>
      </c>
      <c r="AC295" s="42">
        <v>1</v>
      </c>
      <c r="AD295" s="42">
        <v>1</v>
      </c>
      <c r="AE295" s="42">
        <v>11216423.199999999</v>
      </c>
    </row>
    <row r="296" spans="1:31" x14ac:dyDescent="0.2">
      <c r="A296" s="42" t="s">
        <v>917</v>
      </c>
      <c r="B296" s="42">
        <v>1</v>
      </c>
      <c r="C296" s="42" t="s">
        <v>297</v>
      </c>
      <c r="D296" s="42">
        <v>199</v>
      </c>
      <c r="E296" s="42" t="s">
        <v>390</v>
      </c>
      <c r="F296" s="42" t="s">
        <v>728</v>
      </c>
      <c r="G296" s="42">
        <v>11552</v>
      </c>
      <c r="H296" s="42" t="s">
        <v>729</v>
      </c>
      <c r="I296" s="42">
        <v>5576075.0199999996</v>
      </c>
      <c r="J296" s="42">
        <v>5576075.0199999996</v>
      </c>
      <c r="K296" s="42" t="b">
        <v>0</v>
      </c>
      <c r="L296" s="42">
        <v>4</v>
      </c>
      <c r="M296" s="42" t="s">
        <v>128</v>
      </c>
      <c r="N296" s="42">
        <v>28</v>
      </c>
      <c r="O296" s="42" t="s">
        <v>120</v>
      </c>
      <c r="P296" s="42">
        <v>108</v>
      </c>
      <c r="Q296" s="42" t="s">
        <v>319</v>
      </c>
      <c r="R296" s="42" t="s">
        <v>114</v>
      </c>
      <c r="U296" s="42" t="s">
        <v>212</v>
      </c>
      <c r="V296" s="42">
        <v>1</v>
      </c>
      <c r="W296" s="42" t="s">
        <v>116</v>
      </c>
      <c r="X296" s="42">
        <v>18</v>
      </c>
      <c r="Y296" s="42" t="s">
        <v>117</v>
      </c>
      <c r="Z296" s="42">
        <v>56329.68</v>
      </c>
      <c r="AA296" s="42">
        <v>98.99</v>
      </c>
      <c r="AB296" s="42" t="s">
        <v>36</v>
      </c>
      <c r="AC296" s="42">
        <v>1</v>
      </c>
      <c r="AD296" s="42">
        <v>1</v>
      </c>
      <c r="AE296" s="42">
        <v>5576075.0199999996</v>
      </c>
    </row>
    <row r="297" spans="1:31" x14ac:dyDescent="0.2">
      <c r="A297" s="42" t="s">
        <v>917</v>
      </c>
      <c r="B297" s="42">
        <v>1</v>
      </c>
      <c r="C297" s="42" t="s">
        <v>297</v>
      </c>
      <c r="D297" s="42">
        <v>199</v>
      </c>
      <c r="E297" s="42" t="s">
        <v>390</v>
      </c>
      <c r="F297" s="42" t="s">
        <v>730</v>
      </c>
      <c r="G297" s="42">
        <v>11600</v>
      </c>
      <c r="H297" s="42" t="s">
        <v>731</v>
      </c>
      <c r="I297" s="42">
        <v>2724409.07</v>
      </c>
      <c r="J297" s="42">
        <v>2724409.07</v>
      </c>
      <c r="K297" s="42" t="b">
        <v>0</v>
      </c>
      <c r="L297" s="42">
        <v>4</v>
      </c>
      <c r="M297" s="42" t="s">
        <v>128</v>
      </c>
      <c r="N297" s="42">
        <v>5</v>
      </c>
      <c r="O297" s="42" t="s">
        <v>143</v>
      </c>
      <c r="P297" s="42">
        <v>108</v>
      </c>
      <c r="Q297" s="42" t="s">
        <v>319</v>
      </c>
      <c r="R297" s="42" t="s">
        <v>114</v>
      </c>
      <c r="U297" s="42" t="s">
        <v>115</v>
      </c>
      <c r="V297" s="42">
        <v>1</v>
      </c>
      <c r="W297" s="42" t="s">
        <v>116</v>
      </c>
      <c r="X297" s="42">
        <v>18</v>
      </c>
      <c r="Y297" s="42" t="s">
        <v>117</v>
      </c>
      <c r="Z297" s="42">
        <v>29009.307000000001</v>
      </c>
      <c r="AA297" s="42">
        <v>93.915000000000006</v>
      </c>
      <c r="AB297" s="42" t="s">
        <v>36</v>
      </c>
      <c r="AC297" s="42">
        <v>1</v>
      </c>
      <c r="AD297" s="42">
        <v>1</v>
      </c>
      <c r="AE297" s="42">
        <v>2724409.07</v>
      </c>
    </row>
    <row r="298" spans="1:31" x14ac:dyDescent="0.2">
      <c r="A298" s="42" t="s">
        <v>917</v>
      </c>
      <c r="B298" s="42">
        <v>1</v>
      </c>
      <c r="C298" s="42" t="s">
        <v>297</v>
      </c>
      <c r="D298" s="42">
        <v>199</v>
      </c>
      <c r="E298" s="42" t="s">
        <v>390</v>
      </c>
      <c r="F298" s="42" t="s">
        <v>732</v>
      </c>
      <c r="G298" s="42">
        <v>11919</v>
      </c>
      <c r="H298" s="42" t="s">
        <v>733</v>
      </c>
      <c r="I298" s="42">
        <v>5611719.8099999996</v>
      </c>
      <c r="J298" s="42">
        <v>5620254.75</v>
      </c>
      <c r="K298" s="42" t="b">
        <v>0</v>
      </c>
      <c r="L298" s="42">
        <v>4</v>
      </c>
      <c r="M298" s="42" t="s">
        <v>128</v>
      </c>
      <c r="N298" s="42">
        <v>2</v>
      </c>
      <c r="O298" s="42" t="s">
        <v>122</v>
      </c>
      <c r="P298" s="42">
        <v>14</v>
      </c>
      <c r="Q298" s="42" t="s">
        <v>323</v>
      </c>
      <c r="R298" s="42" t="s">
        <v>114</v>
      </c>
      <c r="U298" s="42" t="s">
        <v>121</v>
      </c>
      <c r="V298" s="42">
        <v>1</v>
      </c>
      <c r="W298" s="42" t="s">
        <v>116</v>
      </c>
      <c r="X298" s="42">
        <v>18</v>
      </c>
      <c r="Y298" s="42" t="s">
        <v>117</v>
      </c>
      <c r="Z298" s="42">
        <v>5334334.42</v>
      </c>
      <c r="AA298" s="42">
        <v>1.0536000000000001</v>
      </c>
      <c r="AB298" s="42" t="s">
        <v>36</v>
      </c>
      <c r="AC298" s="42">
        <v>1</v>
      </c>
      <c r="AD298" s="42">
        <v>1</v>
      </c>
      <c r="AE298" s="42">
        <v>5620254.7400000002</v>
      </c>
    </row>
    <row r="299" spans="1:31" x14ac:dyDescent="0.2">
      <c r="A299" s="42" t="s">
        <v>917</v>
      </c>
      <c r="B299" s="42">
        <v>1</v>
      </c>
      <c r="C299" s="42" t="s">
        <v>297</v>
      </c>
      <c r="D299" s="42">
        <v>199</v>
      </c>
      <c r="E299" s="42" t="s">
        <v>390</v>
      </c>
      <c r="F299" s="42" t="s">
        <v>734</v>
      </c>
      <c r="G299" s="42">
        <v>11931</v>
      </c>
      <c r="H299" s="42" t="s">
        <v>735</v>
      </c>
      <c r="I299" s="42">
        <v>5640815.8300000001</v>
      </c>
      <c r="J299" s="42">
        <v>5640815.8300000001</v>
      </c>
      <c r="K299" s="42" t="b">
        <v>0</v>
      </c>
      <c r="L299" s="42">
        <v>4</v>
      </c>
      <c r="M299" s="42" t="s">
        <v>128</v>
      </c>
      <c r="N299" s="42">
        <v>1</v>
      </c>
      <c r="O299" s="42" t="s">
        <v>112</v>
      </c>
      <c r="P299" s="42">
        <v>39</v>
      </c>
      <c r="Q299" s="42" t="s">
        <v>251</v>
      </c>
      <c r="R299" s="42" t="s">
        <v>114</v>
      </c>
      <c r="U299" s="42" t="s">
        <v>121</v>
      </c>
      <c r="V299" s="42">
        <v>1</v>
      </c>
      <c r="W299" s="42" t="s">
        <v>116</v>
      </c>
      <c r="X299" s="42">
        <v>18</v>
      </c>
      <c r="Y299" s="42" t="s">
        <v>117</v>
      </c>
      <c r="Z299" s="42">
        <v>11132456.73</v>
      </c>
      <c r="AA299" s="42">
        <v>0.50670000000000004</v>
      </c>
      <c r="AB299" s="42" t="s">
        <v>36</v>
      </c>
      <c r="AC299" s="42">
        <v>1</v>
      </c>
      <c r="AD299" s="42">
        <v>1</v>
      </c>
      <c r="AE299" s="42">
        <v>5640815.8300000001</v>
      </c>
    </row>
    <row r="300" spans="1:31" x14ac:dyDescent="0.2">
      <c r="A300" s="42" t="s">
        <v>917</v>
      </c>
      <c r="B300" s="42">
        <v>1</v>
      </c>
      <c r="C300" s="42" t="s">
        <v>297</v>
      </c>
      <c r="D300" s="42">
        <v>199</v>
      </c>
      <c r="E300" s="42" t="s">
        <v>390</v>
      </c>
      <c r="F300" s="42" t="s">
        <v>736</v>
      </c>
      <c r="G300" s="42">
        <v>11999</v>
      </c>
      <c r="H300" s="42" t="s">
        <v>737</v>
      </c>
      <c r="I300" s="42">
        <v>5719517.5499999998</v>
      </c>
      <c r="J300" s="42">
        <v>5719517.5499999998</v>
      </c>
      <c r="K300" s="42" t="b">
        <v>0</v>
      </c>
      <c r="L300" s="42">
        <v>4</v>
      </c>
      <c r="M300" s="42" t="s">
        <v>128</v>
      </c>
      <c r="N300" s="42">
        <v>1</v>
      </c>
      <c r="O300" s="42" t="s">
        <v>112</v>
      </c>
      <c r="P300" s="42">
        <v>38</v>
      </c>
      <c r="Q300" s="42" t="s">
        <v>378</v>
      </c>
      <c r="R300" s="42" t="s">
        <v>114</v>
      </c>
      <c r="U300" s="42" t="s">
        <v>115</v>
      </c>
      <c r="V300" s="42">
        <v>1</v>
      </c>
      <c r="W300" s="42" t="s">
        <v>116</v>
      </c>
      <c r="X300" s="42">
        <v>18</v>
      </c>
      <c r="Y300" s="42" t="s">
        <v>117</v>
      </c>
      <c r="Z300" s="42">
        <v>57714.607000000004</v>
      </c>
      <c r="AA300" s="42">
        <v>99.1</v>
      </c>
      <c r="AB300" s="42" t="s">
        <v>36</v>
      </c>
      <c r="AC300" s="42">
        <v>1</v>
      </c>
      <c r="AD300" s="42">
        <v>1</v>
      </c>
      <c r="AE300" s="42">
        <v>5719517.5499999998</v>
      </c>
    </row>
    <row r="301" spans="1:31" x14ac:dyDescent="0.2">
      <c r="A301" s="42" t="s">
        <v>917</v>
      </c>
      <c r="B301" s="42">
        <v>1</v>
      </c>
      <c r="C301" s="42" t="s">
        <v>297</v>
      </c>
      <c r="D301" s="42">
        <v>199</v>
      </c>
      <c r="E301" s="42" t="s">
        <v>390</v>
      </c>
      <c r="F301" s="42" t="s">
        <v>738</v>
      </c>
      <c r="G301" s="42">
        <v>12071</v>
      </c>
      <c r="H301" s="42" t="s">
        <v>739</v>
      </c>
      <c r="I301" s="42">
        <v>7086048</v>
      </c>
      <c r="J301" s="42">
        <v>7092069</v>
      </c>
      <c r="K301" s="42" t="b">
        <v>1</v>
      </c>
      <c r="L301" s="42">
        <v>4</v>
      </c>
      <c r="M301" s="42" t="s">
        <v>128</v>
      </c>
      <c r="N301" s="42">
        <v>2</v>
      </c>
      <c r="O301" s="42" t="s">
        <v>122</v>
      </c>
      <c r="P301" s="42">
        <v>108</v>
      </c>
      <c r="Q301" s="42" t="s">
        <v>319</v>
      </c>
      <c r="R301" s="42" t="s">
        <v>204</v>
      </c>
      <c r="S301" s="42">
        <v>1</v>
      </c>
      <c r="T301" s="42" t="s">
        <v>205</v>
      </c>
      <c r="U301" s="42" t="s">
        <v>212</v>
      </c>
      <c r="V301" s="42">
        <v>1</v>
      </c>
      <c r="W301" s="42" t="s">
        <v>116</v>
      </c>
      <c r="X301" s="42">
        <v>22</v>
      </c>
      <c r="Y301" s="42" t="s">
        <v>217</v>
      </c>
      <c r="Z301" s="42">
        <v>669000</v>
      </c>
      <c r="AA301" s="42">
        <v>10.601000000000001</v>
      </c>
      <c r="AB301" s="42" t="s">
        <v>36</v>
      </c>
      <c r="AC301" s="42">
        <v>1</v>
      </c>
      <c r="AD301" s="42">
        <v>1</v>
      </c>
      <c r="AE301" s="42">
        <v>7092069</v>
      </c>
    </row>
    <row r="302" spans="1:31" x14ac:dyDescent="0.2">
      <c r="A302" s="42" t="s">
        <v>917</v>
      </c>
      <c r="B302" s="42">
        <v>1</v>
      </c>
      <c r="C302" s="42" t="s">
        <v>297</v>
      </c>
      <c r="D302" s="42">
        <v>199</v>
      </c>
      <c r="E302" s="42" t="s">
        <v>390</v>
      </c>
      <c r="F302" s="42" t="s">
        <v>740</v>
      </c>
      <c r="G302" s="42">
        <v>12195</v>
      </c>
      <c r="H302" s="42" t="s">
        <v>741</v>
      </c>
      <c r="I302" s="42">
        <v>6282540</v>
      </c>
      <c r="J302" s="42">
        <v>6282540</v>
      </c>
      <c r="K302" s="42" t="b">
        <v>0</v>
      </c>
      <c r="L302" s="42">
        <v>4</v>
      </c>
      <c r="M302" s="42" t="s">
        <v>128</v>
      </c>
      <c r="N302" s="42">
        <v>4</v>
      </c>
      <c r="O302" s="42" t="s">
        <v>109</v>
      </c>
      <c r="P302" s="42">
        <v>39</v>
      </c>
      <c r="Q302" s="42" t="s">
        <v>251</v>
      </c>
      <c r="R302" s="42" t="s">
        <v>114</v>
      </c>
      <c r="U302" s="42" t="s">
        <v>115</v>
      </c>
      <c r="V302" s="42">
        <v>1</v>
      </c>
      <c r="W302" s="42" t="s">
        <v>116</v>
      </c>
      <c r="X302" s="42">
        <v>18</v>
      </c>
      <c r="Y302" s="42" t="s">
        <v>117</v>
      </c>
      <c r="Z302" s="42">
        <v>62700</v>
      </c>
      <c r="AA302" s="42">
        <v>100.2</v>
      </c>
      <c r="AB302" s="42" t="s">
        <v>36</v>
      </c>
      <c r="AC302" s="42">
        <v>1</v>
      </c>
      <c r="AD302" s="42">
        <v>1</v>
      </c>
      <c r="AE302" s="42">
        <v>6282540</v>
      </c>
    </row>
    <row r="303" spans="1:31" x14ac:dyDescent="0.2">
      <c r="A303" s="42" t="s">
        <v>917</v>
      </c>
      <c r="B303" s="42">
        <v>1</v>
      </c>
      <c r="C303" s="42" t="s">
        <v>298</v>
      </c>
      <c r="D303" s="42">
        <v>200</v>
      </c>
      <c r="E303" s="42" t="s">
        <v>393</v>
      </c>
      <c r="F303" s="42" t="s">
        <v>641</v>
      </c>
      <c r="G303" s="42">
        <v>2940</v>
      </c>
      <c r="H303" s="42" t="s">
        <v>642</v>
      </c>
      <c r="I303" s="42">
        <v>29159879.460000001</v>
      </c>
      <c r="J303" s="42">
        <v>29159879.460000001</v>
      </c>
      <c r="K303" s="42" t="b">
        <v>0</v>
      </c>
      <c r="L303" s="42">
        <v>5</v>
      </c>
      <c r="M303" s="42" t="s">
        <v>108</v>
      </c>
      <c r="N303" s="42">
        <v>4</v>
      </c>
      <c r="O303" s="42" t="s">
        <v>109</v>
      </c>
      <c r="P303" s="42">
        <v>6</v>
      </c>
      <c r="Q303" s="42" t="s">
        <v>109</v>
      </c>
      <c r="R303" s="42" t="s">
        <v>114</v>
      </c>
      <c r="U303" s="42" t="s">
        <v>121</v>
      </c>
      <c r="V303" s="42">
        <v>1</v>
      </c>
      <c r="W303" s="42" t="s">
        <v>116</v>
      </c>
      <c r="X303" s="42">
        <v>18</v>
      </c>
      <c r="Y303" s="42" t="s">
        <v>117</v>
      </c>
      <c r="Z303" s="42">
        <v>8837934.0050000008</v>
      </c>
      <c r="AA303" s="42">
        <v>3.2993999999999999</v>
      </c>
      <c r="AB303" s="42" t="s">
        <v>36</v>
      </c>
      <c r="AC303" s="42">
        <v>1</v>
      </c>
      <c r="AD303" s="42">
        <v>1</v>
      </c>
      <c r="AE303" s="42">
        <v>29159879.460000001</v>
      </c>
    </row>
    <row r="304" spans="1:31" x14ac:dyDescent="0.2">
      <c r="A304" s="42" t="s">
        <v>917</v>
      </c>
      <c r="B304" s="42">
        <v>1</v>
      </c>
      <c r="C304" s="42" t="s">
        <v>298</v>
      </c>
      <c r="D304" s="42">
        <v>200</v>
      </c>
      <c r="E304" s="42" t="s">
        <v>393</v>
      </c>
      <c r="F304" s="42" t="s">
        <v>218</v>
      </c>
      <c r="G304" s="42">
        <v>3200</v>
      </c>
      <c r="H304" s="42" t="s">
        <v>219</v>
      </c>
      <c r="I304" s="42">
        <v>11837174.279999999</v>
      </c>
      <c r="J304" s="42">
        <v>11838549.48</v>
      </c>
      <c r="K304" s="42" t="b">
        <v>1</v>
      </c>
      <c r="L304" s="42">
        <v>5</v>
      </c>
      <c r="M304" s="42" t="s">
        <v>108</v>
      </c>
      <c r="N304" s="42">
        <v>4</v>
      </c>
      <c r="O304" s="42" t="s">
        <v>109</v>
      </c>
      <c r="P304" s="42">
        <v>6</v>
      </c>
      <c r="Q304" s="42" t="s">
        <v>109</v>
      </c>
      <c r="R304" s="42" t="s">
        <v>204</v>
      </c>
      <c r="S304" s="42">
        <v>1</v>
      </c>
      <c r="T304" s="42" t="s">
        <v>205</v>
      </c>
      <c r="U304" s="42" t="s">
        <v>115</v>
      </c>
      <c r="V304" s="42">
        <v>1</v>
      </c>
      <c r="W304" s="42" t="s">
        <v>116</v>
      </c>
      <c r="X304" s="42">
        <v>22</v>
      </c>
      <c r="Y304" s="42" t="s">
        <v>217</v>
      </c>
      <c r="Z304" s="42">
        <v>34325</v>
      </c>
      <c r="AA304" s="42">
        <v>430.43</v>
      </c>
      <c r="AB304" s="42" t="s">
        <v>35</v>
      </c>
      <c r="AC304" s="42">
        <v>1.248</v>
      </c>
      <c r="AD304" s="42">
        <v>1</v>
      </c>
      <c r="AE304" s="42">
        <v>11838549.48</v>
      </c>
    </row>
    <row r="305" spans="1:31" x14ac:dyDescent="0.2">
      <c r="A305" s="42" t="s">
        <v>917</v>
      </c>
      <c r="B305" s="42">
        <v>1</v>
      </c>
      <c r="C305" s="42" t="s">
        <v>298</v>
      </c>
      <c r="D305" s="42">
        <v>200</v>
      </c>
      <c r="E305" s="42" t="s">
        <v>393</v>
      </c>
      <c r="F305" s="42" t="s">
        <v>742</v>
      </c>
      <c r="G305" s="42">
        <v>10020</v>
      </c>
      <c r="H305" s="42" t="s">
        <v>743</v>
      </c>
      <c r="I305" s="42">
        <v>10178990.060000001</v>
      </c>
      <c r="J305" s="42">
        <v>10254871.779999999</v>
      </c>
      <c r="K305" s="42" t="b">
        <v>1</v>
      </c>
      <c r="L305" s="42">
        <v>5</v>
      </c>
      <c r="M305" s="42" t="s">
        <v>108</v>
      </c>
      <c r="N305" s="42">
        <v>27</v>
      </c>
      <c r="O305" s="42" t="s">
        <v>129</v>
      </c>
      <c r="P305" s="42">
        <v>10</v>
      </c>
      <c r="Q305" s="42" t="s">
        <v>129</v>
      </c>
      <c r="R305" s="42" t="s">
        <v>204</v>
      </c>
      <c r="S305" s="42">
        <v>1</v>
      </c>
      <c r="T305" s="42" t="s">
        <v>205</v>
      </c>
      <c r="U305" s="42" t="s">
        <v>121</v>
      </c>
      <c r="V305" s="42">
        <v>9</v>
      </c>
      <c r="W305" s="42" t="s">
        <v>206</v>
      </c>
      <c r="X305" s="42">
        <v>4</v>
      </c>
      <c r="Y305" s="42" t="s">
        <v>230</v>
      </c>
      <c r="Z305" s="42">
        <v>2168049</v>
      </c>
      <c r="AA305" s="42">
        <v>4.7300000000000004</v>
      </c>
      <c r="AB305" s="42" t="s">
        <v>36</v>
      </c>
      <c r="AC305" s="42">
        <v>1</v>
      </c>
      <c r="AD305" s="42">
        <v>1</v>
      </c>
      <c r="AE305" s="42">
        <v>10254871.77</v>
      </c>
    </row>
    <row r="306" spans="1:31" x14ac:dyDescent="0.2">
      <c r="A306" s="42" t="s">
        <v>917</v>
      </c>
      <c r="B306" s="42">
        <v>1</v>
      </c>
      <c r="C306" s="42" t="s">
        <v>298</v>
      </c>
      <c r="D306" s="42">
        <v>200</v>
      </c>
      <c r="E306" s="42" t="s">
        <v>393</v>
      </c>
      <c r="F306" s="42" t="s">
        <v>339</v>
      </c>
      <c r="G306" s="42">
        <v>10052</v>
      </c>
      <c r="H306" s="42" t="s">
        <v>340</v>
      </c>
      <c r="I306" s="42">
        <v>6877651.8200000003</v>
      </c>
      <c r="J306" s="42">
        <v>6877651.8200000003</v>
      </c>
      <c r="K306" s="42" t="b">
        <v>0</v>
      </c>
      <c r="L306" s="42">
        <v>5</v>
      </c>
      <c r="M306" s="42" t="s">
        <v>108</v>
      </c>
      <c r="N306" s="42">
        <v>28</v>
      </c>
      <c r="O306" s="42" t="s">
        <v>120</v>
      </c>
      <c r="P306" s="42">
        <v>9</v>
      </c>
      <c r="Q306" s="42" t="s">
        <v>320</v>
      </c>
      <c r="R306" s="42" t="s">
        <v>114</v>
      </c>
      <c r="U306" s="42" t="s">
        <v>121</v>
      </c>
      <c r="V306" s="42">
        <v>1</v>
      </c>
      <c r="W306" s="42" t="s">
        <v>116</v>
      </c>
      <c r="X306" s="42">
        <v>18</v>
      </c>
      <c r="Y306" s="42" t="s">
        <v>117</v>
      </c>
      <c r="Z306" s="42">
        <v>2482010.7599999998</v>
      </c>
      <c r="AA306" s="42">
        <v>2.7709999999999999</v>
      </c>
      <c r="AB306" s="42" t="s">
        <v>36</v>
      </c>
      <c r="AC306" s="42">
        <v>1</v>
      </c>
      <c r="AD306" s="42">
        <v>1</v>
      </c>
      <c r="AE306" s="42">
        <v>6877651.8200000003</v>
      </c>
    </row>
    <row r="307" spans="1:31" x14ac:dyDescent="0.2">
      <c r="A307" s="42" t="s">
        <v>917</v>
      </c>
      <c r="B307" s="42">
        <v>1</v>
      </c>
      <c r="C307" s="42" t="s">
        <v>298</v>
      </c>
      <c r="D307" s="42">
        <v>200</v>
      </c>
      <c r="E307" s="42" t="s">
        <v>393</v>
      </c>
      <c r="F307" s="42" t="s">
        <v>744</v>
      </c>
      <c r="G307" s="42">
        <v>10068</v>
      </c>
      <c r="H307" s="42" t="s">
        <v>745</v>
      </c>
      <c r="I307" s="42">
        <v>28245351.73</v>
      </c>
      <c r="J307" s="42">
        <v>28245351.73</v>
      </c>
      <c r="K307" s="42" t="b">
        <v>0</v>
      </c>
      <c r="L307" s="42">
        <v>5</v>
      </c>
      <c r="M307" s="42" t="s">
        <v>108</v>
      </c>
      <c r="N307" s="42">
        <v>1</v>
      </c>
      <c r="O307" s="42" t="s">
        <v>112</v>
      </c>
      <c r="P307" s="42">
        <v>6</v>
      </c>
      <c r="Q307" s="42" t="s">
        <v>109</v>
      </c>
      <c r="R307" s="42" t="s">
        <v>114</v>
      </c>
      <c r="U307" s="42" t="s">
        <v>115</v>
      </c>
      <c r="V307" s="42">
        <v>1</v>
      </c>
      <c r="W307" s="42" t="s">
        <v>116</v>
      </c>
      <c r="X307" s="42">
        <v>18</v>
      </c>
      <c r="Y307" s="42" t="s">
        <v>117</v>
      </c>
      <c r="Z307" s="42">
        <v>195199.39</v>
      </c>
      <c r="AA307" s="42">
        <v>144.69999999999999</v>
      </c>
      <c r="AB307" s="42" t="s">
        <v>36</v>
      </c>
      <c r="AC307" s="42">
        <v>1</v>
      </c>
      <c r="AD307" s="42">
        <v>1</v>
      </c>
      <c r="AE307" s="42">
        <v>28245351.73</v>
      </c>
    </row>
    <row r="308" spans="1:31" x14ac:dyDescent="0.2">
      <c r="A308" s="42" t="s">
        <v>917</v>
      </c>
      <c r="B308" s="42">
        <v>1</v>
      </c>
      <c r="C308" s="42" t="s">
        <v>298</v>
      </c>
      <c r="D308" s="42">
        <v>200</v>
      </c>
      <c r="E308" s="42" t="s">
        <v>393</v>
      </c>
      <c r="F308" s="42" t="s">
        <v>746</v>
      </c>
      <c r="G308" s="42">
        <v>10072</v>
      </c>
      <c r="H308" s="42" t="s">
        <v>747</v>
      </c>
      <c r="I308" s="42">
        <v>8230418.1500000004</v>
      </c>
      <c r="J308" s="42">
        <v>8230418.1500000004</v>
      </c>
      <c r="K308" s="42" t="b">
        <v>0</v>
      </c>
      <c r="L308" s="42">
        <v>5</v>
      </c>
      <c r="M308" s="42" t="s">
        <v>108</v>
      </c>
      <c r="N308" s="42">
        <v>28</v>
      </c>
      <c r="O308" s="42" t="s">
        <v>120</v>
      </c>
      <c r="P308" s="42">
        <v>9</v>
      </c>
      <c r="Q308" s="42" t="s">
        <v>320</v>
      </c>
      <c r="R308" s="42" t="s">
        <v>114</v>
      </c>
      <c r="U308" s="42" t="s">
        <v>212</v>
      </c>
      <c r="V308" s="42">
        <v>1</v>
      </c>
      <c r="W308" s="42" t="s">
        <v>116</v>
      </c>
      <c r="X308" s="42">
        <v>18</v>
      </c>
      <c r="Y308" s="42" t="s">
        <v>117</v>
      </c>
      <c r="Z308" s="42">
        <v>724508.64</v>
      </c>
      <c r="AA308" s="42">
        <v>11.36</v>
      </c>
      <c r="AB308" s="42" t="s">
        <v>36</v>
      </c>
      <c r="AC308" s="42">
        <v>1</v>
      </c>
      <c r="AD308" s="42">
        <v>1</v>
      </c>
      <c r="AE308" s="42">
        <v>8230418.1500000004</v>
      </c>
    </row>
    <row r="309" spans="1:31" x14ac:dyDescent="0.2">
      <c r="A309" s="42" t="s">
        <v>917</v>
      </c>
      <c r="B309" s="42">
        <v>1</v>
      </c>
      <c r="C309" s="42" t="s">
        <v>298</v>
      </c>
      <c r="D309" s="42">
        <v>200</v>
      </c>
      <c r="E309" s="42" t="s">
        <v>393</v>
      </c>
      <c r="F309" s="42" t="s">
        <v>748</v>
      </c>
      <c r="G309" s="42">
        <v>10115</v>
      </c>
      <c r="H309" s="42" t="s">
        <v>749</v>
      </c>
      <c r="I309" s="42">
        <v>5431969.0199999996</v>
      </c>
      <c r="J309" s="42">
        <v>5431969.0199999996</v>
      </c>
      <c r="K309" s="42" t="b">
        <v>0</v>
      </c>
      <c r="L309" s="42">
        <v>5</v>
      </c>
      <c r="M309" s="42" t="s">
        <v>108</v>
      </c>
      <c r="N309" s="42">
        <v>1</v>
      </c>
      <c r="O309" s="42" t="s">
        <v>112</v>
      </c>
      <c r="P309" s="42">
        <v>55</v>
      </c>
      <c r="Q309" s="42" t="s">
        <v>143</v>
      </c>
      <c r="R309" s="42" t="s">
        <v>114</v>
      </c>
      <c r="U309" s="42" t="s">
        <v>212</v>
      </c>
      <c r="V309" s="42">
        <v>1</v>
      </c>
      <c r="W309" s="42" t="s">
        <v>116</v>
      </c>
      <c r="X309" s="42">
        <v>18</v>
      </c>
      <c r="Y309" s="42" t="s">
        <v>117</v>
      </c>
      <c r="Z309" s="42">
        <v>359257.21</v>
      </c>
      <c r="AA309" s="42">
        <v>15.12</v>
      </c>
      <c r="AB309" s="42" t="s">
        <v>36</v>
      </c>
      <c r="AC309" s="42">
        <v>1</v>
      </c>
      <c r="AD309" s="42">
        <v>1</v>
      </c>
      <c r="AE309" s="42">
        <v>5431969.0199999996</v>
      </c>
    </row>
    <row r="310" spans="1:31" x14ac:dyDescent="0.2">
      <c r="A310" s="42" t="s">
        <v>917</v>
      </c>
      <c r="B310" s="42">
        <v>1</v>
      </c>
      <c r="C310" s="42" t="s">
        <v>298</v>
      </c>
      <c r="D310" s="42">
        <v>200</v>
      </c>
      <c r="E310" s="42" t="s">
        <v>393</v>
      </c>
      <c r="F310" s="42" t="s">
        <v>750</v>
      </c>
      <c r="G310" s="42">
        <v>10566</v>
      </c>
      <c r="H310" s="42" t="s">
        <v>751</v>
      </c>
      <c r="I310" s="42">
        <v>36300310.100000001</v>
      </c>
      <c r="J310" s="42">
        <v>36300310.100000001</v>
      </c>
      <c r="K310" s="42" t="b">
        <v>0</v>
      </c>
      <c r="L310" s="42">
        <v>5</v>
      </c>
      <c r="M310" s="42" t="s">
        <v>108</v>
      </c>
      <c r="N310" s="42">
        <v>4</v>
      </c>
      <c r="O310" s="42" t="s">
        <v>109</v>
      </c>
      <c r="P310" s="42">
        <v>6</v>
      </c>
      <c r="Q310" s="42" t="s">
        <v>109</v>
      </c>
      <c r="R310" s="42" t="s">
        <v>114</v>
      </c>
      <c r="U310" s="42" t="s">
        <v>115</v>
      </c>
      <c r="V310" s="42">
        <v>1</v>
      </c>
      <c r="W310" s="42" t="s">
        <v>116</v>
      </c>
      <c r="X310" s="42">
        <v>18</v>
      </c>
      <c r="Y310" s="42" t="s">
        <v>117</v>
      </c>
      <c r="Z310" s="42">
        <v>1319051.966</v>
      </c>
      <c r="AA310" s="42">
        <v>27.52</v>
      </c>
      <c r="AB310" s="42" t="s">
        <v>36</v>
      </c>
      <c r="AC310" s="42">
        <v>1</v>
      </c>
      <c r="AD310" s="42">
        <v>1</v>
      </c>
      <c r="AE310" s="42">
        <v>36300310.100000001</v>
      </c>
    </row>
    <row r="311" spans="1:31" x14ac:dyDescent="0.2">
      <c r="A311" s="42" t="s">
        <v>917</v>
      </c>
      <c r="B311" s="42">
        <v>1</v>
      </c>
      <c r="C311" s="42" t="s">
        <v>298</v>
      </c>
      <c r="D311" s="42">
        <v>200</v>
      </c>
      <c r="E311" s="42" t="s">
        <v>393</v>
      </c>
      <c r="F311" s="42" t="s">
        <v>688</v>
      </c>
      <c r="G311" s="42">
        <v>10587</v>
      </c>
      <c r="H311" s="42" t="s">
        <v>689</v>
      </c>
      <c r="I311" s="42">
        <v>18534861.039999999</v>
      </c>
      <c r="J311" s="42">
        <v>18534861.039999999</v>
      </c>
      <c r="K311" s="42" t="b">
        <v>0</v>
      </c>
      <c r="L311" s="42">
        <v>5</v>
      </c>
      <c r="M311" s="42" t="s">
        <v>108</v>
      </c>
      <c r="N311" s="42">
        <v>1</v>
      </c>
      <c r="O311" s="42" t="s">
        <v>112</v>
      </c>
      <c r="P311" s="42">
        <v>3</v>
      </c>
      <c r="Q311" s="42" t="s">
        <v>325</v>
      </c>
      <c r="R311" s="42" t="s">
        <v>114</v>
      </c>
      <c r="U311" s="42" t="s">
        <v>121</v>
      </c>
      <c r="V311" s="42">
        <v>1</v>
      </c>
      <c r="W311" s="42" t="s">
        <v>116</v>
      </c>
      <c r="X311" s="42">
        <v>18</v>
      </c>
      <c r="Y311" s="42" t="s">
        <v>117</v>
      </c>
      <c r="Z311" s="42">
        <v>14512105.418</v>
      </c>
      <c r="AA311" s="42">
        <v>1.2771999999999999</v>
      </c>
      <c r="AB311" s="42" t="s">
        <v>36</v>
      </c>
      <c r="AC311" s="42">
        <v>1</v>
      </c>
      <c r="AD311" s="42">
        <v>1</v>
      </c>
      <c r="AE311" s="42">
        <v>18534861.039999999</v>
      </c>
    </row>
    <row r="312" spans="1:31" x14ac:dyDescent="0.2">
      <c r="A312" s="42" t="s">
        <v>917</v>
      </c>
      <c r="B312" s="42">
        <v>1</v>
      </c>
      <c r="C312" s="42" t="s">
        <v>298</v>
      </c>
      <c r="D312" s="42">
        <v>200</v>
      </c>
      <c r="E312" s="42" t="s">
        <v>393</v>
      </c>
      <c r="F312" s="42" t="s">
        <v>752</v>
      </c>
      <c r="G312" s="42">
        <v>10645</v>
      </c>
      <c r="H312" s="42" t="s">
        <v>753</v>
      </c>
      <c r="I312" s="42">
        <v>7548985.4699999997</v>
      </c>
      <c r="J312" s="42">
        <v>7589054.4000000004</v>
      </c>
      <c r="K312" s="42" t="b">
        <v>1</v>
      </c>
      <c r="L312" s="42">
        <v>5</v>
      </c>
      <c r="M312" s="42" t="s">
        <v>108</v>
      </c>
      <c r="N312" s="42">
        <v>1</v>
      </c>
      <c r="O312" s="42" t="s">
        <v>112</v>
      </c>
      <c r="P312" s="42">
        <v>164</v>
      </c>
      <c r="Q312" s="42" t="s">
        <v>336</v>
      </c>
      <c r="R312" s="42" t="s">
        <v>204</v>
      </c>
      <c r="S312" s="42">
        <v>1</v>
      </c>
      <c r="T312" s="42" t="s">
        <v>205</v>
      </c>
      <c r="U312" s="42" t="s">
        <v>237</v>
      </c>
      <c r="V312" s="42">
        <v>9</v>
      </c>
      <c r="W312" s="42" t="s">
        <v>206</v>
      </c>
      <c r="X312" s="42">
        <v>4</v>
      </c>
      <c r="Y312" s="42" t="s">
        <v>230</v>
      </c>
      <c r="Z312" s="42">
        <v>1602757</v>
      </c>
      <c r="AA312" s="42">
        <v>4.7350000000000003</v>
      </c>
      <c r="AB312" s="42" t="s">
        <v>36</v>
      </c>
      <c r="AC312" s="42">
        <v>1</v>
      </c>
      <c r="AD312" s="42">
        <v>1</v>
      </c>
      <c r="AE312" s="42">
        <v>7589054.4000000004</v>
      </c>
    </row>
    <row r="313" spans="1:31" x14ac:dyDescent="0.2">
      <c r="A313" s="42" t="s">
        <v>917</v>
      </c>
      <c r="B313" s="42">
        <v>1</v>
      </c>
      <c r="C313" s="42" t="s">
        <v>298</v>
      </c>
      <c r="D313" s="42">
        <v>200</v>
      </c>
      <c r="E313" s="42" t="s">
        <v>393</v>
      </c>
      <c r="F313" s="42" t="s">
        <v>692</v>
      </c>
      <c r="G313" s="42">
        <v>10939</v>
      </c>
      <c r="H313" s="42" t="s">
        <v>693</v>
      </c>
      <c r="I313" s="42">
        <v>9930925.2400000002</v>
      </c>
      <c r="J313" s="42">
        <v>9930925.2400000002</v>
      </c>
      <c r="K313" s="42" t="b">
        <v>0</v>
      </c>
      <c r="L313" s="42">
        <v>5</v>
      </c>
      <c r="M313" s="42" t="s">
        <v>108</v>
      </c>
      <c r="N313" s="42">
        <v>29</v>
      </c>
      <c r="O313" s="42" t="s">
        <v>142</v>
      </c>
      <c r="P313" s="42">
        <v>3</v>
      </c>
      <c r="Q313" s="42" t="s">
        <v>325</v>
      </c>
      <c r="R313" s="42" t="s">
        <v>114</v>
      </c>
      <c r="U313" s="42" t="s">
        <v>121</v>
      </c>
      <c r="V313" s="42">
        <v>1</v>
      </c>
      <c r="W313" s="42" t="s">
        <v>116</v>
      </c>
      <c r="X313" s="42">
        <v>18</v>
      </c>
      <c r="Y313" s="42" t="s">
        <v>117</v>
      </c>
      <c r="Z313" s="42">
        <v>7349163.9460000005</v>
      </c>
      <c r="AA313" s="42">
        <v>1.3512999999999999</v>
      </c>
      <c r="AB313" s="42" t="s">
        <v>36</v>
      </c>
      <c r="AC313" s="42">
        <v>1</v>
      </c>
      <c r="AD313" s="42">
        <v>1</v>
      </c>
      <c r="AE313" s="42">
        <v>9930925.2400000002</v>
      </c>
    </row>
    <row r="314" spans="1:31" x14ac:dyDescent="0.2">
      <c r="A314" s="42" t="s">
        <v>917</v>
      </c>
      <c r="B314" s="42">
        <v>1</v>
      </c>
      <c r="C314" s="42" t="s">
        <v>298</v>
      </c>
      <c r="D314" s="42">
        <v>200</v>
      </c>
      <c r="E314" s="42" t="s">
        <v>393</v>
      </c>
      <c r="F314" s="42" t="s">
        <v>754</v>
      </c>
      <c r="G314" s="42">
        <v>11173</v>
      </c>
      <c r="H314" s="42" t="s">
        <v>755</v>
      </c>
      <c r="I314" s="42">
        <v>20414780.309999999</v>
      </c>
      <c r="J314" s="42">
        <v>20414780.309999999</v>
      </c>
      <c r="K314" s="42" t="b">
        <v>0</v>
      </c>
      <c r="L314" s="42">
        <v>5</v>
      </c>
      <c r="M314" s="42" t="s">
        <v>108</v>
      </c>
      <c r="N314" s="42">
        <v>4</v>
      </c>
      <c r="O314" s="42" t="s">
        <v>109</v>
      </c>
      <c r="P314" s="42">
        <v>6</v>
      </c>
      <c r="Q314" s="42" t="s">
        <v>109</v>
      </c>
      <c r="R314" s="42" t="s">
        <v>114</v>
      </c>
      <c r="U314" s="42" t="s">
        <v>121</v>
      </c>
      <c r="V314" s="42">
        <v>1</v>
      </c>
      <c r="W314" s="42" t="s">
        <v>116</v>
      </c>
      <c r="X314" s="42">
        <v>18</v>
      </c>
      <c r="Y314" s="42" t="s">
        <v>117</v>
      </c>
      <c r="Z314" s="42">
        <v>3247141.77</v>
      </c>
      <c r="AA314" s="42">
        <v>6.2869999999999999</v>
      </c>
      <c r="AB314" s="42" t="s">
        <v>36</v>
      </c>
      <c r="AC314" s="42">
        <v>1</v>
      </c>
      <c r="AD314" s="42">
        <v>1</v>
      </c>
      <c r="AE314" s="42">
        <v>20414780.309999999</v>
      </c>
    </row>
    <row r="315" spans="1:31" x14ac:dyDescent="0.2">
      <c r="A315" s="42" t="s">
        <v>917</v>
      </c>
      <c r="B315" s="42">
        <v>1</v>
      </c>
      <c r="C315" s="42" t="s">
        <v>298</v>
      </c>
      <c r="D315" s="42">
        <v>200</v>
      </c>
      <c r="E315" s="42" t="s">
        <v>393</v>
      </c>
      <c r="F315" s="42" t="s">
        <v>756</v>
      </c>
      <c r="G315" s="42">
        <v>11462</v>
      </c>
      <c r="H315" s="42" t="s">
        <v>757</v>
      </c>
      <c r="I315" s="42">
        <v>10692350.16</v>
      </c>
      <c r="J315" s="42">
        <v>10692350.16</v>
      </c>
      <c r="K315" s="42" t="b">
        <v>0</v>
      </c>
      <c r="L315" s="42">
        <v>5</v>
      </c>
      <c r="M315" s="42" t="s">
        <v>108</v>
      </c>
      <c r="N315" s="42">
        <v>5</v>
      </c>
      <c r="O315" s="42" t="s">
        <v>143</v>
      </c>
      <c r="P315" s="42">
        <v>55</v>
      </c>
      <c r="Q315" s="42" t="s">
        <v>143</v>
      </c>
      <c r="R315" s="42" t="s">
        <v>114</v>
      </c>
      <c r="U315" s="42" t="s">
        <v>212</v>
      </c>
      <c r="V315" s="42">
        <v>1</v>
      </c>
      <c r="W315" s="42" t="s">
        <v>116</v>
      </c>
      <c r="X315" s="42">
        <v>18</v>
      </c>
      <c r="Y315" s="42" t="s">
        <v>117</v>
      </c>
      <c r="Z315" s="42">
        <v>58712.626499999998</v>
      </c>
      <c r="AA315" s="42">
        <v>182.11330000000001</v>
      </c>
      <c r="AB315" s="42" t="s">
        <v>36</v>
      </c>
      <c r="AC315" s="42">
        <v>1</v>
      </c>
      <c r="AD315" s="42">
        <v>1</v>
      </c>
      <c r="AE315" s="42">
        <v>10692350.16</v>
      </c>
    </row>
    <row r="316" spans="1:31" x14ac:dyDescent="0.2">
      <c r="A316" s="42" t="s">
        <v>917</v>
      </c>
      <c r="B316" s="42">
        <v>1</v>
      </c>
      <c r="C316" s="42" t="s">
        <v>298</v>
      </c>
      <c r="D316" s="42">
        <v>200</v>
      </c>
      <c r="E316" s="42" t="s">
        <v>393</v>
      </c>
      <c r="F316" s="42" t="s">
        <v>758</v>
      </c>
      <c r="G316" s="42">
        <v>11604</v>
      </c>
      <c r="H316" s="42" t="s">
        <v>759</v>
      </c>
      <c r="I316" s="42">
        <v>17087006.969999999</v>
      </c>
      <c r="J316" s="42">
        <v>17087006.969999999</v>
      </c>
      <c r="K316" s="42" t="b">
        <v>0</v>
      </c>
      <c r="L316" s="42">
        <v>5</v>
      </c>
      <c r="M316" s="42" t="s">
        <v>108</v>
      </c>
      <c r="N316" s="42">
        <v>4</v>
      </c>
      <c r="O316" s="42" t="s">
        <v>109</v>
      </c>
      <c r="P316" s="42">
        <v>26</v>
      </c>
      <c r="Q316" s="42" t="s">
        <v>327</v>
      </c>
      <c r="R316" s="42" t="s">
        <v>114</v>
      </c>
      <c r="U316" s="42" t="s">
        <v>121</v>
      </c>
      <c r="V316" s="42">
        <v>1</v>
      </c>
      <c r="W316" s="42" t="s">
        <v>116</v>
      </c>
      <c r="X316" s="42">
        <v>18</v>
      </c>
      <c r="Y316" s="42" t="s">
        <v>117</v>
      </c>
      <c r="Z316" s="42">
        <v>2797846.3072000002</v>
      </c>
      <c r="AA316" s="42">
        <v>6.1071999999999997</v>
      </c>
      <c r="AB316" s="42" t="s">
        <v>36</v>
      </c>
      <c r="AC316" s="42">
        <v>1</v>
      </c>
      <c r="AD316" s="42">
        <v>1</v>
      </c>
      <c r="AE316" s="42">
        <v>17087006.969999999</v>
      </c>
    </row>
    <row r="317" spans="1:31" x14ac:dyDescent="0.2">
      <c r="A317" s="42" t="s">
        <v>917</v>
      </c>
      <c r="B317" s="42">
        <v>1</v>
      </c>
      <c r="C317" s="42" t="s">
        <v>298</v>
      </c>
      <c r="D317" s="42">
        <v>200</v>
      </c>
      <c r="E317" s="42" t="s">
        <v>393</v>
      </c>
      <c r="F317" s="42" t="s">
        <v>760</v>
      </c>
      <c r="G317" s="42">
        <v>11755</v>
      </c>
      <c r="H317" s="42" t="s">
        <v>761</v>
      </c>
      <c r="I317" s="42">
        <v>8825887.4100000001</v>
      </c>
      <c r="J317" s="42">
        <v>8825887.4100000001</v>
      </c>
      <c r="K317" s="42" t="b">
        <v>0</v>
      </c>
      <c r="L317" s="42">
        <v>5</v>
      </c>
      <c r="M317" s="42" t="s">
        <v>108</v>
      </c>
      <c r="N317" s="42">
        <v>28</v>
      </c>
      <c r="O317" s="42" t="s">
        <v>120</v>
      </c>
      <c r="P317" s="42">
        <v>9</v>
      </c>
      <c r="Q317" s="42" t="s">
        <v>320</v>
      </c>
      <c r="R317" s="42" t="s">
        <v>114</v>
      </c>
      <c r="U317" s="42" t="s">
        <v>212</v>
      </c>
      <c r="V317" s="42">
        <v>1</v>
      </c>
      <c r="W317" s="42" t="s">
        <v>116</v>
      </c>
      <c r="X317" s="42">
        <v>18</v>
      </c>
      <c r="Y317" s="42" t="s">
        <v>117</v>
      </c>
      <c r="Z317" s="42">
        <v>74410.989000000001</v>
      </c>
      <c r="AA317" s="42">
        <v>118.61</v>
      </c>
      <c r="AB317" s="42" t="s">
        <v>36</v>
      </c>
      <c r="AC317" s="42">
        <v>1</v>
      </c>
      <c r="AD317" s="42">
        <v>1</v>
      </c>
      <c r="AE317" s="42">
        <v>8825887.4100000001</v>
      </c>
    </row>
    <row r="318" spans="1:31" x14ac:dyDescent="0.2">
      <c r="A318" s="42" t="s">
        <v>917</v>
      </c>
      <c r="B318" s="42">
        <v>1</v>
      </c>
      <c r="C318" s="42" t="s">
        <v>298</v>
      </c>
      <c r="D318" s="42">
        <v>200</v>
      </c>
      <c r="E318" s="42" t="s">
        <v>393</v>
      </c>
      <c r="F318" s="42" t="s">
        <v>762</v>
      </c>
      <c r="G318" s="42">
        <v>11874</v>
      </c>
      <c r="H318" s="42" t="s">
        <v>763</v>
      </c>
      <c r="I318" s="42">
        <v>11080420.529999999</v>
      </c>
      <c r="J318" s="42">
        <v>11080420.529999999</v>
      </c>
      <c r="K318" s="42" t="b">
        <v>0</v>
      </c>
      <c r="L318" s="42">
        <v>5</v>
      </c>
      <c r="M318" s="42" t="s">
        <v>108</v>
      </c>
      <c r="N318" s="42">
        <v>1</v>
      </c>
      <c r="O318" s="42" t="s">
        <v>112</v>
      </c>
      <c r="P318" s="42">
        <v>55</v>
      </c>
      <c r="Q318" s="42" t="s">
        <v>143</v>
      </c>
      <c r="R318" s="42" t="s">
        <v>114</v>
      </c>
      <c r="U318" s="42" t="s">
        <v>115</v>
      </c>
      <c r="V318" s="42">
        <v>1</v>
      </c>
      <c r="W318" s="42" t="s">
        <v>116</v>
      </c>
      <c r="X318" s="42">
        <v>18</v>
      </c>
      <c r="Y318" s="42" t="s">
        <v>117</v>
      </c>
      <c r="Z318" s="42">
        <v>960657.91599999997</v>
      </c>
      <c r="AA318" s="42">
        <v>11.5342</v>
      </c>
      <c r="AB318" s="42" t="s">
        <v>36</v>
      </c>
      <c r="AC318" s="42">
        <v>1</v>
      </c>
      <c r="AD318" s="42">
        <v>1</v>
      </c>
      <c r="AE318" s="42">
        <v>11080420.529999999</v>
      </c>
    </row>
    <row r="319" spans="1:31" x14ac:dyDescent="0.2">
      <c r="A319" s="42" t="s">
        <v>917</v>
      </c>
      <c r="B319" s="42">
        <v>1</v>
      </c>
      <c r="C319" s="42" t="s">
        <v>298</v>
      </c>
      <c r="D319" s="42">
        <v>200</v>
      </c>
      <c r="E319" s="42" t="s">
        <v>393</v>
      </c>
      <c r="F319" s="42" t="s">
        <v>764</v>
      </c>
      <c r="G319" s="42">
        <v>11992</v>
      </c>
      <c r="H319" s="42" t="s">
        <v>765</v>
      </c>
      <c r="I319" s="42">
        <v>19998258.289999999</v>
      </c>
      <c r="J319" s="42">
        <v>19998258.289999999</v>
      </c>
      <c r="K319" s="42" t="b">
        <v>0</v>
      </c>
      <c r="L319" s="42">
        <v>5</v>
      </c>
      <c r="M319" s="42" t="s">
        <v>108</v>
      </c>
      <c r="N319" s="42">
        <v>28</v>
      </c>
      <c r="O319" s="42" t="s">
        <v>120</v>
      </c>
      <c r="P319" s="42">
        <v>10</v>
      </c>
      <c r="Q319" s="42" t="s">
        <v>129</v>
      </c>
      <c r="R319" s="42" t="s">
        <v>114</v>
      </c>
      <c r="U319" s="42" t="s">
        <v>115</v>
      </c>
      <c r="V319" s="42">
        <v>1</v>
      </c>
      <c r="W319" s="42" t="s">
        <v>116</v>
      </c>
      <c r="X319" s="42">
        <v>18</v>
      </c>
      <c r="Y319" s="42" t="s">
        <v>117</v>
      </c>
      <c r="Z319" s="42">
        <v>177963.51329999999</v>
      </c>
      <c r="AA319" s="42">
        <v>112.3728</v>
      </c>
      <c r="AB319" s="42" t="s">
        <v>36</v>
      </c>
      <c r="AC319" s="42">
        <v>1</v>
      </c>
      <c r="AD319" s="42">
        <v>1</v>
      </c>
      <c r="AE319" s="42">
        <v>19998258.289999999</v>
      </c>
    </row>
    <row r="320" spans="1:31" x14ac:dyDescent="0.2">
      <c r="A320" s="42" t="s">
        <v>917</v>
      </c>
      <c r="B320" s="42">
        <v>1</v>
      </c>
      <c r="C320" s="42" t="s">
        <v>299</v>
      </c>
      <c r="D320" s="42">
        <v>201</v>
      </c>
      <c r="E320" s="42" t="s">
        <v>394</v>
      </c>
      <c r="F320" s="42" t="s">
        <v>215</v>
      </c>
      <c r="G320" s="42">
        <v>3194</v>
      </c>
      <c r="H320" s="42" t="s">
        <v>216</v>
      </c>
      <c r="I320" s="42">
        <v>13053111.75</v>
      </c>
      <c r="J320" s="42">
        <v>13055666.18</v>
      </c>
      <c r="K320" s="42" t="b">
        <v>1</v>
      </c>
      <c r="L320" s="42">
        <v>5</v>
      </c>
      <c r="M320" s="42" t="s">
        <v>108</v>
      </c>
      <c r="N320" s="42">
        <v>2</v>
      </c>
      <c r="O320" s="42" t="s">
        <v>122</v>
      </c>
      <c r="P320" s="42">
        <v>1</v>
      </c>
      <c r="Q320" s="42" t="s">
        <v>326</v>
      </c>
      <c r="R320" s="42" t="s">
        <v>204</v>
      </c>
      <c r="S320" s="42">
        <v>1</v>
      </c>
      <c r="T320" s="42" t="s">
        <v>205</v>
      </c>
      <c r="U320" s="42" t="s">
        <v>115</v>
      </c>
      <c r="V320" s="42">
        <v>1</v>
      </c>
      <c r="W320" s="42" t="s">
        <v>116</v>
      </c>
      <c r="X320" s="42">
        <v>22</v>
      </c>
      <c r="Y320" s="42" t="s">
        <v>217</v>
      </c>
      <c r="Z320" s="42">
        <v>1702950</v>
      </c>
      <c r="AA320" s="42">
        <v>7.6665000000000001</v>
      </c>
      <c r="AB320" s="42" t="s">
        <v>36</v>
      </c>
      <c r="AC320" s="42">
        <v>1</v>
      </c>
      <c r="AD320" s="42">
        <v>1</v>
      </c>
      <c r="AE320" s="42">
        <v>13055666.18</v>
      </c>
    </row>
    <row r="321" spans="1:31" x14ac:dyDescent="0.2">
      <c r="A321" s="42" t="s">
        <v>917</v>
      </c>
      <c r="B321" s="42">
        <v>1</v>
      </c>
      <c r="C321" s="42" t="s">
        <v>299</v>
      </c>
      <c r="D321" s="42">
        <v>201</v>
      </c>
      <c r="E321" s="42" t="s">
        <v>394</v>
      </c>
      <c r="F321" s="42" t="s">
        <v>645</v>
      </c>
      <c r="G321" s="42">
        <v>5840</v>
      </c>
      <c r="H321" s="42" t="s">
        <v>646</v>
      </c>
      <c r="I321" s="42">
        <v>18340284.109999999</v>
      </c>
      <c r="J321" s="42">
        <v>18340284.109999999</v>
      </c>
      <c r="K321" s="42" t="b">
        <v>0</v>
      </c>
      <c r="L321" s="42">
        <v>5</v>
      </c>
      <c r="M321" s="42" t="s">
        <v>108</v>
      </c>
      <c r="N321" s="42">
        <v>2</v>
      </c>
      <c r="O321" s="42" t="s">
        <v>122</v>
      </c>
      <c r="P321" s="42">
        <v>2</v>
      </c>
      <c r="Q321" s="42" t="s">
        <v>322</v>
      </c>
      <c r="R321" s="42" t="s">
        <v>114</v>
      </c>
      <c r="U321" s="42" t="s">
        <v>121</v>
      </c>
      <c r="V321" s="42">
        <v>1</v>
      </c>
      <c r="W321" s="42" t="s">
        <v>116</v>
      </c>
      <c r="X321" s="42">
        <v>18</v>
      </c>
      <c r="Y321" s="42" t="s">
        <v>117</v>
      </c>
      <c r="Z321" s="42">
        <v>1795919.01</v>
      </c>
      <c r="AA321" s="42">
        <v>10.212199999999999</v>
      </c>
      <c r="AB321" s="42" t="s">
        <v>36</v>
      </c>
      <c r="AC321" s="42">
        <v>1</v>
      </c>
      <c r="AD321" s="42">
        <v>1</v>
      </c>
      <c r="AE321" s="42">
        <v>18340284.109999999</v>
      </c>
    </row>
    <row r="322" spans="1:31" x14ac:dyDescent="0.2">
      <c r="A322" s="42" t="s">
        <v>917</v>
      </c>
      <c r="B322" s="42">
        <v>1</v>
      </c>
      <c r="C322" s="42" t="s">
        <v>299</v>
      </c>
      <c r="D322" s="42">
        <v>201</v>
      </c>
      <c r="E322" s="42" t="s">
        <v>394</v>
      </c>
      <c r="F322" s="42" t="s">
        <v>766</v>
      </c>
      <c r="G322" s="42">
        <v>6649</v>
      </c>
      <c r="H322" s="42" t="s">
        <v>767</v>
      </c>
      <c r="I322" s="42">
        <v>1461718.61</v>
      </c>
      <c r="J322" s="42">
        <v>1478715.34</v>
      </c>
      <c r="K322" s="42" t="b">
        <v>1</v>
      </c>
      <c r="L322" s="42">
        <v>2</v>
      </c>
      <c r="M322" s="42" t="s">
        <v>248</v>
      </c>
      <c r="N322" s="42">
        <v>1</v>
      </c>
      <c r="O322" s="42" t="s">
        <v>112</v>
      </c>
      <c r="P322" s="42">
        <v>180</v>
      </c>
      <c r="Q322" s="42" t="s">
        <v>214</v>
      </c>
      <c r="R322" s="42" t="s">
        <v>204</v>
      </c>
      <c r="S322" s="42">
        <v>1</v>
      </c>
      <c r="T322" s="42" t="s">
        <v>205</v>
      </c>
      <c r="U322" s="42" t="s">
        <v>229</v>
      </c>
      <c r="V322" s="42">
        <v>9</v>
      </c>
      <c r="W322" s="42" t="s">
        <v>206</v>
      </c>
      <c r="X322" s="42">
        <v>4</v>
      </c>
      <c r="Y322" s="42" t="s">
        <v>230</v>
      </c>
      <c r="Z322" s="42">
        <v>2428104</v>
      </c>
      <c r="AA322" s="42">
        <v>0.60899999999999999</v>
      </c>
      <c r="AB322" s="42" t="s">
        <v>36</v>
      </c>
      <c r="AC322" s="42">
        <v>1</v>
      </c>
      <c r="AD322" s="42">
        <v>1</v>
      </c>
      <c r="AE322" s="42">
        <v>1478715.34</v>
      </c>
    </row>
    <row r="323" spans="1:31" x14ac:dyDescent="0.2">
      <c r="A323" s="42" t="s">
        <v>917</v>
      </c>
      <c r="B323" s="42">
        <v>1</v>
      </c>
      <c r="C323" s="42" t="s">
        <v>299</v>
      </c>
      <c r="D323" s="42">
        <v>201</v>
      </c>
      <c r="E323" s="42" t="s">
        <v>394</v>
      </c>
      <c r="F323" s="42" t="s">
        <v>672</v>
      </c>
      <c r="G323" s="42">
        <v>10021</v>
      </c>
      <c r="H323" s="42" t="s">
        <v>673</v>
      </c>
      <c r="I323" s="42">
        <v>6795119.9199999999</v>
      </c>
      <c r="J323" s="42">
        <v>6795119.9199999999</v>
      </c>
      <c r="K323" s="42" t="b">
        <v>0</v>
      </c>
      <c r="L323" s="42">
        <v>5</v>
      </c>
      <c r="M323" s="42" t="s">
        <v>108</v>
      </c>
      <c r="N323" s="42">
        <v>6</v>
      </c>
      <c r="O323" s="42" t="s">
        <v>303</v>
      </c>
      <c r="P323" s="42">
        <v>1</v>
      </c>
      <c r="Q323" s="42" t="s">
        <v>326</v>
      </c>
      <c r="R323" s="42" t="s">
        <v>114</v>
      </c>
      <c r="U323" s="42" t="s">
        <v>121</v>
      </c>
      <c r="V323" s="42">
        <v>1</v>
      </c>
      <c r="W323" s="42" t="s">
        <v>116</v>
      </c>
      <c r="X323" s="42">
        <v>18</v>
      </c>
      <c r="Y323" s="42" t="s">
        <v>117</v>
      </c>
      <c r="Z323" s="42">
        <v>1980507.1170999999</v>
      </c>
      <c r="AA323" s="42">
        <v>3.431</v>
      </c>
      <c r="AB323" s="42" t="s">
        <v>36</v>
      </c>
      <c r="AC323" s="42">
        <v>1</v>
      </c>
      <c r="AD323" s="42">
        <v>1</v>
      </c>
      <c r="AE323" s="42">
        <v>6795119.9199999999</v>
      </c>
    </row>
    <row r="324" spans="1:31" x14ac:dyDescent="0.2">
      <c r="A324" s="42" t="s">
        <v>917</v>
      </c>
      <c r="B324" s="42">
        <v>1</v>
      </c>
      <c r="C324" s="42" t="s">
        <v>299</v>
      </c>
      <c r="D324" s="42">
        <v>201</v>
      </c>
      <c r="E324" s="42" t="s">
        <v>394</v>
      </c>
      <c r="F324" s="42" t="s">
        <v>768</v>
      </c>
      <c r="G324" s="42">
        <v>10029</v>
      </c>
      <c r="H324" s="42" t="s">
        <v>769</v>
      </c>
      <c r="I324" s="42">
        <v>18611011.469999999</v>
      </c>
      <c r="J324" s="42">
        <v>18611011.469999999</v>
      </c>
      <c r="K324" s="42" t="b">
        <v>0</v>
      </c>
      <c r="L324" s="42">
        <v>5</v>
      </c>
      <c r="M324" s="42" t="s">
        <v>108</v>
      </c>
      <c r="N324" s="42">
        <v>2</v>
      </c>
      <c r="O324" s="42" t="s">
        <v>122</v>
      </c>
      <c r="P324" s="42">
        <v>1</v>
      </c>
      <c r="Q324" s="42" t="s">
        <v>326</v>
      </c>
      <c r="R324" s="42" t="s">
        <v>114</v>
      </c>
      <c r="U324" s="42" t="s">
        <v>121</v>
      </c>
      <c r="V324" s="42">
        <v>1</v>
      </c>
      <c r="W324" s="42" t="s">
        <v>116</v>
      </c>
      <c r="X324" s="42">
        <v>18</v>
      </c>
      <c r="Y324" s="42" t="s">
        <v>117</v>
      </c>
      <c r="Z324" s="42">
        <v>7525681.9550000001</v>
      </c>
      <c r="AA324" s="42">
        <v>2.4729999999999999</v>
      </c>
      <c r="AB324" s="42" t="s">
        <v>36</v>
      </c>
      <c r="AC324" s="42">
        <v>1</v>
      </c>
      <c r="AD324" s="42">
        <v>1</v>
      </c>
      <c r="AE324" s="42">
        <v>18611011.469999999</v>
      </c>
    </row>
    <row r="325" spans="1:31" x14ac:dyDescent="0.2">
      <c r="A325" s="42" t="s">
        <v>917</v>
      </c>
      <c r="B325" s="42">
        <v>1</v>
      </c>
      <c r="C325" s="42" t="s">
        <v>299</v>
      </c>
      <c r="D325" s="42">
        <v>201</v>
      </c>
      <c r="E325" s="42" t="s">
        <v>394</v>
      </c>
      <c r="F325" s="42" t="s">
        <v>770</v>
      </c>
      <c r="G325" s="42">
        <v>10047</v>
      </c>
      <c r="H325" s="42" t="s">
        <v>771</v>
      </c>
      <c r="I325" s="42">
        <v>5430940.1200000001</v>
      </c>
      <c r="J325" s="42">
        <v>5430940.1200000001</v>
      </c>
      <c r="K325" s="42" t="b">
        <v>0</v>
      </c>
      <c r="L325" s="42">
        <v>5</v>
      </c>
      <c r="M325" s="42" t="s">
        <v>108</v>
      </c>
      <c r="N325" s="42">
        <v>2</v>
      </c>
      <c r="O325" s="42" t="s">
        <v>122</v>
      </c>
      <c r="P325" s="42">
        <v>2</v>
      </c>
      <c r="Q325" s="42" t="s">
        <v>322</v>
      </c>
      <c r="R325" s="42" t="s">
        <v>114</v>
      </c>
      <c r="U325" s="42" t="s">
        <v>121</v>
      </c>
      <c r="V325" s="42">
        <v>1</v>
      </c>
      <c r="W325" s="42" t="s">
        <v>116</v>
      </c>
      <c r="X325" s="42">
        <v>18</v>
      </c>
      <c r="Y325" s="42" t="s">
        <v>117</v>
      </c>
      <c r="Z325" s="42">
        <v>5415775.9469999997</v>
      </c>
      <c r="AA325" s="42">
        <v>1.0027999999999999</v>
      </c>
      <c r="AB325" s="42" t="s">
        <v>36</v>
      </c>
      <c r="AC325" s="42">
        <v>1</v>
      </c>
      <c r="AD325" s="42">
        <v>1</v>
      </c>
      <c r="AE325" s="42">
        <v>5430940.1200000001</v>
      </c>
    </row>
    <row r="326" spans="1:31" x14ac:dyDescent="0.2">
      <c r="A326" s="42" t="s">
        <v>917</v>
      </c>
      <c r="B326" s="42">
        <v>1</v>
      </c>
      <c r="C326" s="42" t="s">
        <v>299</v>
      </c>
      <c r="D326" s="42">
        <v>201</v>
      </c>
      <c r="E326" s="42" t="s">
        <v>394</v>
      </c>
      <c r="F326" s="42" t="s">
        <v>678</v>
      </c>
      <c r="G326" s="42">
        <v>10051</v>
      </c>
      <c r="H326" s="42" t="s">
        <v>679</v>
      </c>
      <c r="I326" s="42">
        <v>11911574.83</v>
      </c>
      <c r="J326" s="42">
        <v>11911574.83</v>
      </c>
      <c r="K326" s="42" t="b">
        <v>0</v>
      </c>
      <c r="L326" s="42">
        <v>5</v>
      </c>
      <c r="M326" s="42" t="s">
        <v>108</v>
      </c>
      <c r="N326" s="42">
        <v>2</v>
      </c>
      <c r="O326" s="42" t="s">
        <v>122</v>
      </c>
      <c r="P326" s="42">
        <v>1</v>
      </c>
      <c r="Q326" s="42" t="s">
        <v>326</v>
      </c>
      <c r="R326" s="42" t="s">
        <v>114</v>
      </c>
      <c r="U326" s="42" t="s">
        <v>121</v>
      </c>
      <c r="V326" s="42">
        <v>1</v>
      </c>
      <c r="W326" s="42" t="s">
        <v>116</v>
      </c>
      <c r="X326" s="42">
        <v>18</v>
      </c>
      <c r="Y326" s="42" t="s">
        <v>117</v>
      </c>
      <c r="Z326" s="42">
        <v>4162412.1430000002</v>
      </c>
      <c r="AA326" s="42">
        <v>2.8616999999999999</v>
      </c>
      <c r="AB326" s="42" t="s">
        <v>36</v>
      </c>
      <c r="AC326" s="42">
        <v>1</v>
      </c>
      <c r="AD326" s="42">
        <v>1</v>
      </c>
      <c r="AE326" s="42">
        <v>11911574.83</v>
      </c>
    </row>
    <row r="327" spans="1:31" x14ac:dyDescent="0.2">
      <c r="A327" s="42" t="s">
        <v>917</v>
      </c>
      <c r="B327" s="42">
        <v>1</v>
      </c>
      <c r="C327" s="42" t="s">
        <v>299</v>
      </c>
      <c r="D327" s="42">
        <v>201</v>
      </c>
      <c r="E327" s="42" t="s">
        <v>394</v>
      </c>
      <c r="F327" s="42" t="s">
        <v>772</v>
      </c>
      <c r="G327" s="42">
        <v>10057</v>
      </c>
      <c r="H327" s="42" t="s">
        <v>773</v>
      </c>
      <c r="I327" s="42">
        <v>12958291.039999999</v>
      </c>
      <c r="J327" s="42">
        <v>12958291.039999999</v>
      </c>
      <c r="K327" s="42" t="b">
        <v>0</v>
      </c>
      <c r="L327" s="42">
        <v>5</v>
      </c>
      <c r="M327" s="42" t="s">
        <v>108</v>
      </c>
      <c r="N327" s="42">
        <v>2</v>
      </c>
      <c r="O327" s="42" t="s">
        <v>122</v>
      </c>
      <c r="P327" s="42">
        <v>2</v>
      </c>
      <c r="Q327" s="42" t="s">
        <v>322</v>
      </c>
      <c r="R327" s="42" t="s">
        <v>114</v>
      </c>
      <c r="U327" s="42" t="s">
        <v>121</v>
      </c>
      <c r="V327" s="42">
        <v>1</v>
      </c>
      <c r="W327" s="42" t="s">
        <v>116</v>
      </c>
      <c r="X327" s="42">
        <v>18</v>
      </c>
      <c r="Y327" s="42" t="s">
        <v>117</v>
      </c>
      <c r="Z327" s="42">
        <v>10018006.218</v>
      </c>
      <c r="AA327" s="42">
        <v>1.2935000000000001</v>
      </c>
      <c r="AB327" s="42" t="s">
        <v>36</v>
      </c>
      <c r="AC327" s="42">
        <v>1</v>
      </c>
      <c r="AD327" s="42">
        <v>1</v>
      </c>
      <c r="AE327" s="42">
        <v>12958291.039999999</v>
      </c>
    </row>
    <row r="328" spans="1:31" x14ac:dyDescent="0.2">
      <c r="A328" s="42" t="s">
        <v>917</v>
      </c>
      <c r="B328" s="42">
        <v>1</v>
      </c>
      <c r="C328" s="42" t="s">
        <v>299</v>
      </c>
      <c r="D328" s="42">
        <v>201</v>
      </c>
      <c r="E328" s="42" t="s">
        <v>394</v>
      </c>
      <c r="F328" s="42" t="s">
        <v>686</v>
      </c>
      <c r="G328" s="42">
        <v>10223</v>
      </c>
      <c r="H328" s="42" t="s">
        <v>687</v>
      </c>
      <c r="I328" s="42">
        <v>18574472.43</v>
      </c>
      <c r="J328" s="42">
        <v>18574472.43</v>
      </c>
      <c r="K328" s="42" t="b">
        <v>0</v>
      </c>
      <c r="L328" s="42">
        <v>5</v>
      </c>
      <c r="M328" s="42" t="s">
        <v>108</v>
      </c>
      <c r="N328" s="42">
        <v>2</v>
      </c>
      <c r="O328" s="42" t="s">
        <v>122</v>
      </c>
      <c r="P328" s="42">
        <v>1</v>
      </c>
      <c r="Q328" s="42" t="s">
        <v>326</v>
      </c>
      <c r="R328" s="42" t="s">
        <v>114</v>
      </c>
      <c r="U328" s="42" t="s">
        <v>121</v>
      </c>
      <c r="V328" s="42">
        <v>1</v>
      </c>
      <c r="W328" s="42" t="s">
        <v>116</v>
      </c>
      <c r="X328" s="42">
        <v>18</v>
      </c>
      <c r="Y328" s="42" t="s">
        <v>117</v>
      </c>
      <c r="Z328" s="42">
        <v>10336378.648</v>
      </c>
      <c r="AA328" s="42">
        <v>1.7969999999999999</v>
      </c>
      <c r="AB328" s="42" t="s">
        <v>36</v>
      </c>
      <c r="AC328" s="42">
        <v>1</v>
      </c>
      <c r="AD328" s="42">
        <v>1</v>
      </c>
      <c r="AE328" s="42">
        <v>18574472.43</v>
      </c>
    </row>
    <row r="329" spans="1:31" x14ac:dyDescent="0.2">
      <c r="A329" s="42" t="s">
        <v>917</v>
      </c>
      <c r="B329" s="42">
        <v>1</v>
      </c>
      <c r="C329" s="42" t="s">
        <v>299</v>
      </c>
      <c r="D329" s="42">
        <v>201</v>
      </c>
      <c r="E329" s="42" t="s">
        <v>394</v>
      </c>
      <c r="F329" s="42" t="s">
        <v>774</v>
      </c>
      <c r="G329" s="42">
        <v>11247</v>
      </c>
      <c r="H329" s="42" t="s">
        <v>775</v>
      </c>
      <c r="I329" s="42">
        <v>15642285.470000001</v>
      </c>
      <c r="J329" s="42">
        <v>15642285.470000001</v>
      </c>
      <c r="K329" s="42" t="b">
        <v>0</v>
      </c>
      <c r="L329" s="42">
        <v>5</v>
      </c>
      <c r="M329" s="42" t="s">
        <v>108</v>
      </c>
      <c r="N329" s="42">
        <v>2</v>
      </c>
      <c r="O329" s="42" t="s">
        <v>122</v>
      </c>
      <c r="P329" s="42">
        <v>1</v>
      </c>
      <c r="Q329" s="42" t="s">
        <v>326</v>
      </c>
      <c r="R329" s="42" t="s">
        <v>114</v>
      </c>
      <c r="U329" s="42" t="s">
        <v>121</v>
      </c>
      <c r="V329" s="42">
        <v>1</v>
      </c>
      <c r="W329" s="42" t="s">
        <v>116</v>
      </c>
      <c r="X329" s="42">
        <v>18</v>
      </c>
      <c r="Y329" s="42" t="s">
        <v>117</v>
      </c>
      <c r="Z329" s="42">
        <v>15893401.2041</v>
      </c>
      <c r="AA329" s="42">
        <v>0.98419999999999996</v>
      </c>
      <c r="AB329" s="42" t="s">
        <v>36</v>
      </c>
      <c r="AC329" s="42">
        <v>1</v>
      </c>
      <c r="AD329" s="42">
        <v>1</v>
      </c>
      <c r="AE329" s="42">
        <v>15642285.470000001</v>
      </c>
    </row>
    <row r="330" spans="1:31" x14ac:dyDescent="0.2">
      <c r="A330" s="42" t="s">
        <v>917</v>
      </c>
      <c r="B330" s="42">
        <v>1</v>
      </c>
      <c r="C330" s="42" t="s">
        <v>299</v>
      </c>
      <c r="D330" s="42">
        <v>201</v>
      </c>
      <c r="E330" s="42" t="s">
        <v>394</v>
      </c>
      <c r="F330" s="42" t="s">
        <v>776</v>
      </c>
      <c r="G330" s="42">
        <v>11753</v>
      </c>
      <c r="H330" s="42" t="s">
        <v>777</v>
      </c>
      <c r="I330" s="42">
        <v>2509323.7000000002</v>
      </c>
      <c r="J330" s="42">
        <v>2509323.7000000002</v>
      </c>
      <c r="K330" s="42" t="b">
        <v>0</v>
      </c>
      <c r="L330" s="42">
        <v>5</v>
      </c>
      <c r="M330" s="42" t="s">
        <v>108</v>
      </c>
      <c r="N330" s="42">
        <v>2</v>
      </c>
      <c r="O330" s="42" t="s">
        <v>122</v>
      </c>
      <c r="P330" s="42">
        <v>2</v>
      </c>
      <c r="Q330" s="42" t="s">
        <v>322</v>
      </c>
      <c r="R330" s="42" t="s">
        <v>114</v>
      </c>
      <c r="U330" s="42" t="s">
        <v>121</v>
      </c>
      <c r="V330" s="42">
        <v>1</v>
      </c>
      <c r="W330" s="42" t="s">
        <v>116</v>
      </c>
      <c r="X330" s="42">
        <v>18</v>
      </c>
      <c r="Y330" s="42" t="s">
        <v>117</v>
      </c>
      <c r="Z330" s="42">
        <v>961205.7365</v>
      </c>
      <c r="AA330" s="42">
        <v>2.6105999999999998</v>
      </c>
      <c r="AB330" s="42" t="s">
        <v>36</v>
      </c>
      <c r="AC330" s="42">
        <v>1</v>
      </c>
      <c r="AD330" s="42">
        <v>1</v>
      </c>
      <c r="AE330" s="42">
        <v>2509323.7000000002</v>
      </c>
    </row>
    <row r="331" spans="1:31" x14ac:dyDescent="0.2">
      <c r="A331" s="42" t="s">
        <v>917</v>
      </c>
      <c r="B331" s="42">
        <v>1</v>
      </c>
      <c r="C331" s="42" t="s">
        <v>300</v>
      </c>
      <c r="D331" s="42">
        <v>202</v>
      </c>
      <c r="E331" s="42" t="s">
        <v>391</v>
      </c>
      <c r="F331" s="42" t="s">
        <v>266</v>
      </c>
      <c r="G331" s="42">
        <v>3328</v>
      </c>
      <c r="H331" s="42" t="s">
        <v>450</v>
      </c>
      <c r="I331" s="42">
        <v>1879921.95</v>
      </c>
      <c r="J331" s="42">
        <v>1888181.71</v>
      </c>
      <c r="K331" s="42" t="b">
        <v>1</v>
      </c>
      <c r="L331" s="42">
        <v>3</v>
      </c>
      <c r="M331" s="42" t="s">
        <v>209</v>
      </c>
      <c r="N331" s="42">
        <v>3</v>
      </c>
      <c r="O331" s="42" t="s">
        <v>154</v>
      </c>
      <c r="P331" s="42">
        <v>22</v>
      </c>
      <c r="Q331" s="42" t="s">
        <v>209</v>
      </c>
      <c r="R331" s="42" t="s">
        <v>204</v>
      </c>
      <c r="S331" s="42">
        <v>1</v>
      </c>
      <c r="T331" s="42" t="s">
        <v>205</v>
      </c>
      <c r="U331" s="42" t="s">
        <v>121</v>
      </c>
      <c r="V331" s="42">
        <v>9</v>
      </c>
      <c r="W331" s="42" t="s">
        <v>206</v>
      </c>
      <c r="X331" s="42">
        <v>4</v>
      </c>
      <c r="Y331" s="42" t="s">
        <v>230</v>
      </c>
      <c r="Z331" s="42">
        <v>660781</v>
      </c>
      <c r="AA331" s="42">
        <v>2.8574999999999999</v>
      </c>
      <c r="AB331" s="42" t="s">
        <v>36</v>
      </c>
      <c r="AC331" s="42">
        <v>1</v>
      </c>
      <c r="AD331" s="42">
        <v>1</v>
      </c>
      <c r="AE331" s="42">
        <v>1888181.71</v>
      </c>
    </row>
    <row r="332" spans="1:31" x14ac:dyDescent="0.2">
      <c r="A332" s="42" t="s">
        <v>917</v>
      </c>
      <c r="B332" s="42">
        <v>1</v>
      </c>
      <c r="C332" s="42" t="s">
        <v>300</v>
      </c>
      <c r="D332" s="42">
        <v>202</v>
      </c>
      <c r="E332" s="42" t="s">
        <v>391</v>
      </c>
      <c r="F332" s="42" t="s">
        <v>239</v>
      </c>
      <c r="G332" s="42">
        <v>4140</v>
      </c>
      <c r="H332" s="42" t="s">
        <v>240</v>
      </c>
      <c r="I332" s="42">
        <v>1414112</v>
      </c>
      <c r="J332" s="42">
        <v>1416590</v>
      </c>
      <c r="K332" s="42" t="b">
        <v>1</v>
      </c>
      <c r="L332" s="42">
        <v>3</v>
      </c>
      <c r="M332" s="42" t="s">
        <v>209</v>
      </c>
      <c r="N332" s="42">
        <v>2</v>
      </c>
      <c r="O332" s="42" t="s">
        <v>122</v>
      </c>
      <c r="P332" s="42">
        <v>69</v>
      </c>
      <c r="Q332" s="42" t="s">
        <v>234</v>
      </c>
      <c r="R332" s="42" t="s">
        <v>204</v>
      </c>
      <c r="S332" s="42">
        <v>1</v>
      </c>
      <c r="T332" s="42" t="s">
        <v>205</v>
      </c>
      <c r="U332" s="42" t="s">
        <v>121</v>
      </c>
      <c r="V332" s="42">
        <v>9</v>
      </c>
      <c r="W332" s="42" t="s">
        <v>206</v>
      </c>
      <c r="X332" s="42">
        <v>25</v>
      </c>
      <c r="Y332" s="42" t="s">
        <v>227</v>
      </c>
      <c r="Z332" s="42">
        <v>1652000</v>
      </c>
      <c r="AA332" s="42">
        <v>0.85750000000000004</v>
      </c>
      <c r="AB332" s="42" t="s">
        <v>36</v>
      </c>
      <c r="AC332" s="42">
        <v>1</v>
      </c>
      <c r="AD332" s="42">
        <v>1</v>
      </c>
      <c r="AE332" s="42">
        <v>1416590</v>
      </c>
    </row>
    <row r="333" spans="1:31" x14ac:dyDescent="0.2">
      <c r="A333" s="42" t="s">
        <v>917</v>
      </c>
      <c r="B333" s="42">
        <v>1</v>
      </c>
      <c r="C333" s="42" t="s">
        <v>300</v>
      </c>
      <c r="D333" s="42">
        <v>202</v>
      </c>
      <c r="E333" s="42" t="s">
        <v>391</v>
      </c>
      <c r="F333" s="42" t="s">
        <v>778</v>
      </c>
      <c r="G333" s="42">
        <v>6761</v>
      </c>
      <c r="H333" s="42" t="s">
        <v>779</v>
      </c>
      <c r="I333" s="42">
        <v>1493171.51</v>
      </c>
      <c r="J333" s="42">
        <v>1508679.23</v>
      </c>
      <c r="K333" s="42" t="b">
        <v>1</v>
      </c>
      <c r="L333" s="42">
        <v>3</v>
      </c>
      <c r="M333" s="42" t="s">
        <v>209</v>
      </c>
      <c r="N333" s="42">
        <v>2</v>
      </c>
      <c r="O333" s="42" t="s">
        <v>122</v>
      </c>
      <c r="P333" s="42">
        <v>180</v>
      </c>
      <c r="Q333" s="42" t="s">
        <v>214</v>
      </c>
      <c r="R333" s="42" t="s">
        <v>204</v>
      </c>
      <c r="S333" s="42">
        <v>1</v>
      </c>
      <c r="T333" s="42" t="s">
        <v>205</v>
      </c>
      <c r="U333" s="42" t="s">
        <v>121</v>
      </c>
      <c r="V333" s="42">
        <v>9</v>
      </c>
      <c r="W333" s="42" t="s">
        <v>206</v>
      </c>
      <c r="X333" s="42">
        <v>25</v>
      </c>
      <c r="Y333" s="42" t="s">
        <v>227</v>
      </c>
      <c r="Z333" s="42">
        <v>2215388</v>
      </c>
      <c r="AA333" s="42">
        <v>0.68100000000000005</v>
      </c>
      <c r="AB333" s="42" t="s">
        <v>36</v>
      </c>
      <c r="AC333" s="42">
        <v>1</v>
      </c>
      <c r="AD333" s="42">
        <v>1</v>
      </c>
      <c r="AE333" s="42">
        <v>1508679.23</v>
      </c>
    </row>
    <row r="334" spans="1:31" x14ac:dyDescent="0.2">
      <c r="A334" s="42" t="s">
        <v>917</v>
      </c>
      <c r="B334" s="42">
        <v>1</v>
      </c>
      <c r="C334" s="42" t="s">
        <v>300</v>
      </c>
      <c r="D334" s="42">
        <v>202</v>
      </c>
      <c r="E334" s="42" t="s">
        <v>391</v>
      </c>
      <c r="F334" s="42" t="s">
        <v>780</v>
      </c>
      <c r="G334" s="42">
        <v>6832</v>
      </c>
      <c r="H334" s="42" t="s">
        <v>781</v>
      </c>
      <c r="I334" s="42">
        <v>1651527.11</v>
      </c>
      <c r="J334" s="42">
        <v>1681018.67</v>
      </c>
      <c r="K334" s="42" t="b">
        <v>1</v>
      </c>
      <c r="L334" s="42">
        <v>3</v>
      </c>
      <c r="M334" s="42" t="s">
        <v>209</v>
      </c>
      <c r="N334" s="42">
        <v>2</v>
      </c>
      <c r="O334" s="42" t="s">
        <v>122</v>
      </c>
      <c r="P334" s="42">
        <v>180</v>
      </c>
      <c r="Q334" s="42" t="s">
        <v>214</v>
      </c>
      <c r="R334" s="42" t="s">
        <v>204</v>
      </c>
      <c r="S334" s="42">
        <v>1</v>
      </c>
      <c r="T334" s="42" t="s">
        <v>205</v>
      </c>
      <c r="U334" s="42" t="s">
        <v>121</v>
      </c>
      <c r="V334" s="42">
        <v>9</v>
      </c>
      <c r="W334" s="42" t="s">
        <v>206</v>
      </c>
      <c r="X334" s="42">
        <v>25</v>
      </c>
      <c r="Y334" s="42" t="s">
        <v>227</v>
      </c>
      <c r="Z334" s="42">
        <v>3805362</v>
      </c>
      <c r="AA334" s="42">
        <v>0.44174999999999998</v>
      </c>
      <c r="AB334" s="42" t="s">
        <v>36</v>
      </c>
      <c r="AC334" s="42">
        <v>1</v>
      </c>
      <c r="AD334" s="42">
        <v>1</v>
      </c>
      <c r="AE334" s="42">
        <v>1681018.66</v>
      </c>
    </row>
    <row r="335" spans="1:31" x14ac:dyDescent="0.2">
      <c r="A335" s="42" t="s">
        <v>917</v>
      </c>
      <c r="B335" s="42">
        <v>1</v>
      </c>
      <c r="C335" s="42" t="s">
        <v>300</v>
      </c>
      <c r="D335" s="42">
        <v>202</v>
      </c>
      <c r="E335" s="42" t="s">
        <v>391</v>
      </c>
      <c r="F335" s="42" t="s">
        <v>272</v>
      </c>
      <c r="G335" s="42">
        <v>7252</v>
      </c>
      <c r="H335" s="42" t="s">
        <v>380</v>
      </c>
      <c r="I335" s="42">
        <v>2115248.92</v>
      </c>
      <c r="J335" s="42">
        <v>2119384.2999999998</v>
      </c>
      <c r="K335" s="42" t="b">
        <v>1</v>
      </c>
      <c r="L335" s="42">
        <v>3</v>
      </c>
      <c r="M335" s="42" t="s">
        <v>209</v>
      </c>
      <c r="N335" s="42">
        <v>2</v>
      </c>
      <c r="O335" s="42" t="s">
        <v>122</v>
      </c>
      <c r="P335" s="42">
        <v>180</v>
      </c>
      <c r="Q335" s="42" t="s">
        <v>214</v>
      </c>
      <c r="R335" s="42" t="s">
        <v>204</v>
      </c>
      <c r="S335" s="42">
        <v>1</v>
      </c>
      <c r="T335" s="42" t="s">
        <v>205</v>
      </c>
      <c r="U335" s="42" t="s">
        <v>121</v>
      </c>
      <c r="V335" s="42">
        <v>9</v>
      </c>
      <c r="W335" s="42" t="s">
        <v>206</v>
      </c>
      <c r="X335" s="42">
        <v>25</v>
      </c>
      <c r="Y335" s="42" t="s">
        <v>227</v>
      </c>
      <c r="Z335" s="42">
        <v>2067692</v>
      </c>
      <c r="AA335" s="42">
        <v>1.0249999999999999</v>
      </c>
      <c r="AB335" s="42" t="s">
        <v>36</v>
      </c>
      <c r="AC335" s="42">
        <v>1</v>
      </c>
      <c r="AD335" s="42">
        <v>1</v>
      </c>
      <c r="AE335" s="42">
        <v>2119384.2999999998</v>
      </c>
    </row>
    <row r="336" spans="1:31" x14ac:dyDescent="0.2">
      <c r="A336" s="42" t="s">
        <v>917</v>
      </c>
      <c r="B336" s="42">
        <v>1</v>
      </c>
      <c r="C336" s="42" t="s">
        <v>300</v>
      </c>
      <c r="D336" s="42">
        <v>202</v>
      </c>
      <c r="E336" s="42" t="s">
        <v>391</v>
      </c>
      <c r="F336" s="42" t="s">
        <v>617</v>
      </c>
      <c r="G336" s="42">
        <v>9385</v>
      </c>
      <c r="H336" s="42" t="s">
        <v>618</v>
      </c>
      <c r="I336" s="42">
        <v>2476879.91</v>
      </c>
      <c r="J336" s="42">
        <v>2479952.9700000002</v>
      </c>
      <c r="K336" s="42" t="b">
        <v>1</v>
      </c>
      <c r="L336" s="42">
        <v>3</v>
      </c>
      <c r="M336" s="42" t="s">
        <v>209</v>
      </c>
      <c r="N336" s="42">
        <v>2</v>
      </c>
      <c r="O336" s="42" t="s">
        <v>122</v>
      </c>
      <c r="P336" s="42">
        <v>22</v>
      </c>
      <c r="Q336" s="42" t="s">
        <v>209</v>
      </c>
      <c r="R336" s="42" t="s">
        <v>204</v>
      </c>
      <c r="S336" s="42">
        <v>1</v>
      </c>
      <c r="T336" s="42" t="s">
        <v>205</v>
      </c>
      <c r="U336" s="42" t="s">
        <v>121</v>
      </c>
      <c r="V336" s="42">
        <v>9</v>
      </c>
      <c r="W336" s="42" t="s">
        <v>206</v>
      </c>
      <c r="X336" s="42">
        <v>25</v>
      </c>
      <c r="Y336" s="42" t="s">
        <v>227</v>
      </c>
      <c r="Z336" s="42">
        <v>3073052</v>
      </c>
      <c r="AA336" s="42">
        <v>0.80700000000000005</v>
      </c>
      <c r="AB336" s="42" t="s">
        <v>36</v>
      </c>
      <c r="AC336" s="42">
        <v>1</v>
      </c>
      <c r="AD336" s="42">
        <v>1</v>
      </c>
      <c r="AE336" s="42">
        <v>2479952.96</v>
      </c>
    </row>
    <row r="337" spans="1:31" x14ac:dyDescent="0.2">
      <c r="A337" s="42" t="s">
        <v>917</v>
      </c>
      <c r="B337" s="42">
        <v>1</v>
      </c>
      <c r="C337" s="42" t="s">
        <v>300</v>
      </c>
      <c r="D337" s="42">
        <v>202</v>
      </c>
      <c r="E337" s="42" t="s">
        <v>391</v>
      </c>
      <c r="F337" s="42" t="s">
        <v>295</v>
      </c>
      <c r="G337" s="42">
        <v>9439</v>
      </c>
      <c r="H337" s="42" t="s">
        <v>296</v>
      </c>
      <c r="I337" s="42">
        <v>2209930</v>
      </c>
      <c r="J337" s="42">
        <v>2224795</v>
      </c>
      <c r="K337" s="42" t="b">
        <v>1</v>
      </c>
      <c r="L337" s="42">
        <v>3</v>
      </c>
      <c r="M337" s="42" t="s">
        <v>209</v>
      </c>
      <c r="N337" s="42">
        <v>2</v>
      </c>
      <c r="O337" s="42" t="s">
        <v>122</v>
      </c>
      <c r="P337" s="42">
        <v>180</v>
      </c>
      <c r="Q337" s="42" t="s">
        <v>214</v>
      </c>
      <c r="R337" s="42" t="s">
        <v>204</v>
      </c>
      <c r="S337" s="42">
        <v>1</v>
      </c>
      <c r="T337" s="42" t="s">
        <v>205</v>
      </c>
      <c r="U337" s="42" t="s">
        <v>121</v>
      </c>
      <c r="V337" s="42">
        <v>9</v>
      </c>
      <c r="W337" s="42" t="s">
        <v>206</v>
      </c>
      <c r="X337" s="42">
        <v>25</v>
      </c>
      <c r="Y337" s="42" t="s">
        <v>227</v>
      </c>
      <c r="Z337" s="42">
        <v>2477500</v>
      </c>
      <c r="AA337" s="42">
        <v>0.89800000000000002</v>
      </c>
      <c r="AB337" s="42" t="s">
        <v>36</v>
      </c>
      <c r="AC337" s="42">
        <v>1</v>
      </c>
      <c r="AD337" s="42">
        <v>1</v>
      </c>
      <c r="AE337" s="42">
        <v>2224795</v>
      </c>
    </row>
    <row r="338" spans="1:31" x14ac:dyDescent="0.2">
      <c r="A338" s="42" t="s">
        <v>917</v>
      </c>
      <c r="B338" s="42">
        <v>1</v>
      </c>
      <c r="C338" s="42" t="s">
        <v>300</v>
      </c>
      <c r="D338" s="42">
        <v>202</v>
      </c>
      <c r="E338" s="42" t="s">
        <v>391</v>
      </c>
      <c r="F338" s="42" t="s">
        <v>782</v>
      </c>
      <c r="G338" s="42">
        <v>10025</v>
      </c>
      <c r="H338" s="42" t="s">
        <v>783</v>
      </c>
      <c r="I338" s="42">
        <v>7008233.2199999997</v>
      </c>
      <c r="J338" s="42">
        <v>7008233.2199999997</v>
      </c>
      <c r="K338" s="42" t="b">
        <v>0</v>
      </c>
      <c r="L338" s="42">
        <v>3</v>
      </c>
      <c r="M338" s="42" t="s">
        <v>209</v>
      </c>
      <c r="N338" s="42">
        <v>6</v>
      </c>
      <c r="O338" s="42" t="s">
        <v>303</v>
      </c>
      <c r="P338" s="42">
        <v>114</v>
      </c>
      <c r="Q338" s="42" t="s">
        <v>784</v>
      </c>
      <c r="R338" s="42" t="s">
        <v>114</v>
      </c>
      <c r="U338" s="42" t="s">
        <v>121</v>
      </c>
      <c r="V338" s="42">
        <v>1</v>
      </c>
      <c r="W338" s="42" t="s">
        <v>116</v>
      </c>
      <c r="X338" s="42">
        <v>13</v>
      </c>
      <c r="Y338" s="42" t="s">
        <v>166</v>
      </c>
      <c r="Z338" s="42">
        <v>16615062.172</v>
      </c>
      <c r="AA338" s="42">
        <v>0.42180000000000001</v>
      </c>
      <c r="AB338" s="42" t="s">
        <v>36</v>
      </c>
      <c r="AC338" s="42">
        <v>1</v>
      </c>
      <c r="AD338" s="42">
        <v>1</v>
      </c>
      <c r="AE338" s="42">
        <v>7008233.2199999997</v>
      </c>
    </row>
    <row r="339" spans="1:31" x14ac:dyDescent="0.2">
      <c r="A339" s="42" t="s">
        <v>917</v>
      </c>
      <c r="B339" s="42">
        <v>1</v>
      </c>
      <c r="C339" s="42" t="s">
        <v>300</v>
      </c>
      <c r="D339" s="42">
        <v>202</v>
      </c>
      <c r="E339" s="42" t="s">
        <v>391</v>
      </c>
      <c r="F339" s="42" t="s">
        <v>785</v>
      </c>
      <c r="G339" s="42">
        <v>10030</v>
      </c>
      <c r="H339" s="42" t="s">
        <v>786</v>
      </c>
      <c r="I339" s="42">
        <v>9481797.0700000003</v>
      </c>
      <c r="J339" s="42">
        <v>9481797.0700000003</v>
      </c>
      <c r="K339" s="42" t="b">
        <v>0</v>
      </c>
      <c r="L339" s="42">
        <v>14</v>
      </c>
      <c r="M339" s="42" t="s">
        <v>331</v>
      </c>
      <c r="N339" s="42">
        <v>1</v>
      </c>
      <c r="O339" s="42" t="s">
        <v>112</v>
      </c>
      <c r="P339" s="42">
        <v>247</v>
      </c>
      <c r="Q339" s="42" t="s">
        <v>700</v>
      </c>
      <c r="R339" s="42" t="s">
        <v>114</v>
      </c>
      <c r="U339" s="42" t="s">
        <v>121</v>
      </c>
      <c r="V339" s="42">
        <v>1</v>
      </c>
      <c r="W339" s="42" t="s">
        <v>116</v>
      </c>
      <c r="X339" s="42">
        <v>18</v>
      </c>
      <c r="Y339" s="42" t="s">
        <v>117</v>
      </c>
      <c r="Z339" s="42">
        <v>11679966.83</v>
      </c>
      <c r="AA339" s="42">
        <v>0.81179999999999997</v>
      </c>
      <c r="AB339" s="42" t="s">
        <v>36</v>
      </c>
      <c r="AC339" s="42">
        <v>1</v>
      </c>
      <c r="AD339" s="42">
        <v>1</v>
      </c>
      <c r="AE339" s="42">
        <v>9481797.0700000003</v>
      </c>
    </row>
    <row r="340" spans="1:31" x14ac:dyDescent="0.2">
      <c r="A340" s="42" t="s">
        <v>917</v>
      </c>
      <c r="B340" s="42">
        <v>1</v>
      </c>
      <c r="C340" s="42" t="s">
        <v>300</v>
      </c>
      <c r="D340" s="42">
        <v>202</v>
      </c>
      <c r="E340" s="42" t="s">
        <v>391</v>
      </c>
      <c r="F340" s="42" t="s">
        <v>376</v>
      </c>
      <c r="G340" s="42">
        <v>10035</v>
      </c>
      <c r="H340" s="42" t="s">
        <v>377</v>
      </c>
      <c r="I340" s="42">
        <v>2045897.7</v>
      </c>
      <c r="J340" s="42">
        <v>2067896.6</v>
      </c>
      <c r="K340" s="42" t="b">
        <v>1</v>
      </c>
      <c r="L340" s="42">
        <v>3</v>
      </c>
      <c r="M340" s="42" t="s">
        <v>209</v>
      </c>
      <c r="N340" s="42">
        <v>29</v>
      </c>
      <c r="O340" s="42" t="s">
        <v>142</v>
      </c>
      <c r="P340" s="42">
        <v>22</v>
      </c>
      <c r="Q340" s="42" t="s">
        <v>209</v>
      </c>
      <c r="R340" s="42" t="s">
        <v>204</v>
      </c>
      <c r="S340" s="42">
        <v>1</v>
      </c>
      <c r="T340" s="42" t="s">
        <v>205</v>
      </c>
      <c r="U340" s="42" t="s">
        <v>121</v>
      </c>
      <c r="V340" s="42">
        <v>9</v>
      </c>
      <c r="W340" s="42" t="s">
        <v>206</v>
      </c>
      <c r="X340" s="42">
        <v>25</v>
      </c>
      <c r="Y340" s="42" t="s">
        <v>227</v>
      </c>
      <c r="Z340" s="42">
        <v>3142700</v>
      </c>
      <c r="AA340" s="42">
        <v>0.65800000000000003</v>
      </c>
      <c r="AB340" s="42" t="s">
        <v>36</v>
      </c>
      <c r="AC340" s="42">
        <v>1</v>
      </c>
      <c r="AD340" s="42">
        <v>1</v>
      </c>
      <c r="AE340" s="42">
        <v>2067896.6</v>
      </c>
    </row>
    <row r="341" spans="1:31" x14ac:dyDescent="0.2">
      <c r="A341" s="42" t="s">
        <v>917</v>
      </c>
      <c r="B341" s="42">
        <v>1</v>
      </c>
      <c r="C341" s="42" t="s">
        <v>300</v>
      </c>
      <c r="D341" s="42">
        <v>202</v>
      </c>
      <c r="E341" s="42" t="s">
        <v>391</v>
      </c>
      <c r="F341" s="42" t="s">
        <v>787</v>
      </c>
      <c r="G341" s="42">
        <v>10040</v>
      </c>
      <c r="H341" s="42" t="s">
        <v>788</v>
      </c>
      <c r="I341" s="42">
        <v>4421723.8899999997</v>
      </c>
      <c r="J341" s="42">
        <v>4421723.8899999997</v>
      </c>
      <c r="K341" s="42" t="b">
        <v>0</v>
      </c>
      <c r="L341" s="42">
        <v>3</v>
      </c>
      <c r="M341" s="42" t="s">
        <v>209</v>
      </c>
      <c r="N341" s="42">
        <v>2</v>
      </c>
      <c r="O341" s="42" t="s">
        <v>122</v>
      </c>
      <c r="P341" s="42">
        <v>69</v>
      </c>
      <c r="Q341" s="42" t="s">
        <v>234</v>
      </c>
      <c r="R341" s="42" t="s">
        <v>114</v>
      </c>
      <c r="U341" s="42" t="s">
        <v>121</v>
      </c>
      <c r="V341" s="42">
        <v>1</v>
      </c>
      <c r="W341" s="42" t="s">
        <v>116</v>
      </c>
      <c r="X341" s="42">
        <v>13</v>
      </c>
      <c r="Y341" s="42" t="s">
        <v>166</v>
      </c>
      <c r="Z341" s="42">
        <v>4849976.84</v>
      </c>
      <c r="AA341" s="42">
        <v>0.91169999999999995</v>
      </c>
      <c r="AB341" s="42" t="s">
        <v>36</v>
      </c>
      <c r="AC341" s="42">
        <v>1</v>
      </c>
      <c r="AD341" s="42">
        <v>1</v>
      </c>
      <c r="AE341" s="42">
        <v>4421723.8899999997</v>
      </c>
    </row>
    <row r="342" spans="1:31" x14ac:dyDescent="0.2">
      <c r="A342" s="42" t="s">
        <v>917</v>
      </c>
      <c r="B342" s="42">
        <v>1</v>
      </c>
      <c r="C342" s="42" t="s">
        <v>300</v>
      </c>
      <c r="D342" s="42">
        <v>202</v>
      </c>
      <c r="E342" s="42" t="s">
        <v>391</v>
      </c>
      <c r="F342" s="42" t="s">
        <v>674</v>
      </c>
      <c r="G342" s="42">
        <v>10041</v>
      </c>
      <c r="H342" s="42" t="s">
        <v>675</v>
      </c>
      <c r="I342" s="42">
        <v>4997945.7300000004</v>
      </c>
      <c r="J342" s="42">
        <v>4997945.7300000004</v>
      </c>
      <c r="K342" s="42" t="b">
        <v>0</v>
      </c>
      <c r="L342" s="42">
        <v>3</v>
      </c>
      <c r="M342" s="42" t="s">
        <v>209</v>
      </c>
      <c r="N342" s="42">
        <v>2</v>
      </c>
      <c r="O342" s="42" t="s">
        <v>122</v>
      </c>
      <c r="P342" s="42">
        <v>69</v>
      </c>
      <c r="Q342" s="42" t="s">
        <v>234</v>
      </c>
      <c r="R342" s="42" t="s">
        <v>114</v>
      </c>
      <c r="U342" s="42" t="s">
        <v>121</v>
      </c>
      <c r="V342" s="42">
        <v>1</v>
      </c>
      <c r="W342" s="42" t="s">
        <v>116</v>
      </c>
      <c r="X342" s="42">
        <v>13</v>
      </c>
      <c r="Y342" s="42" t="s">
        <v>166</v>
      </c>
      <c r="Z342" s="42">
        <v>4909573.41</v>
      </c>
      <c r="AA342" s="42">
        <v>1.018</v>
      </c>
      <c r="AB342" s="42" t="s">
        <v>36</v>
      </c>
      <c r="AC342" s="42">
        <v>1</v>
      </c>
      <c r="AD342" s="42">
        <v>1</v>
      </c>
      <c r="AE342" s="42">
        <v>4997945.7300000004</v>
      </c>
    </row>
    <row r="343" spans="1:31" x14ac:dyDescent="0.2">
      <c r="A343" s="42" t="s">
        <v>917</v>
      </c>
      <c r="B343" s="42">
        <v>1</v>
      </c>
      <c r="C343" s="42" t="s">
        <v>300</v>
      </c>
      <c r="D343" s="42">
        <v>202</v>
      </c>
      <c r="E343" s="42" t="s">
        <v>391</v>
      </c>
      <c r="F343" s="42" t="s">
        <v>789</v>
      </c>
      <c r="G343" s="42">
        <v>10100</v>
      </c>
      <c r="H343" s="42" t="s">
        <v>790</v>
      </c>
      <c r="I343" s="42">
        <v>2540874.9900000002</v>
      </c>
      <c r="J343" s="42">
        <v>2540874.9900000002</v>
      </c>
      <c r="K343" s="42" t="b">
        <v>0</v>
      </c>
      <c r="L343" s="42">
        <v>14</v>
      </c>
      <c r="M343" s="42" t="s">
        <v>331</v>
      </c>
      <c r="N343" s="42">
        <v>3</v>
      </c>
      <c r="O343" s="42" t="s">
        <v>154</v>
      </c>
      <c r="P343" s="42">
        <v>247</v>
      </c>
      <c r="Q343" s="42" t="s">
        <v>700</v>
      </c>
      <c r="R343" s="42" t="s">
        <v>114</v>
      </c>
      <c r="U343" s="42" t="s">
        <v>121</v>
      </c>
      <c r="V343" s="42">
        <v>1</v>
      </c>
      <c r="W343" s="42" t="s">
        <v>116</v>
      </c>
      <c r="X343" s="42">
        <v>18</v>
      </c>
      <c r="Y343" s="42" t="s">
        <v>117</v>
      </c>
      <c r="Z343" s="42">
        <v>4119447.13</v>
      </c>
      <c r="AA343" s="42">
        <v>0.61680000000000001</v>
      </c>
      <c r="AB343" s="42" t="s">
        <v>36</v>
      </c>
      <c r="AC343" s="42">
        <v>1</v>
      </c>
      <c r="AD343" s="42">
        <v>1</v>
      </c>
      <c r="AE343" s="42">
        <v>2540874.9900000002</v>
      </c>
    </row>
    <row r="344" spans="1:31" x14ac:dyDescent="0.2">
      <c r="A344" s="42" t="s">
        <v>917</v>
      </c>
      <c r="B344" s="42">
        <v>1</v>
      </c>
      <c r="C344" s="42" t="s">
        <v>300</v>
      </c>
      <c r="D344" s="42">
        <v>202</v>
      </c>
      <c r="E344" s="42" t="s">
        <v>391</v>
      </c>
      <c r="F344" s="42" t="s">
        <v>791</v>
      </c>
      <c r="G344" s="42">
        <v>10106</v>
      </c>
      <c r="H344" s="42" t="s">
        <v>792</v>
      </c>
      <c r="I344" s="42">
        <v>5963843.6500000004</v>
      </c>
      <c r="J344" s="42">
        <v>5963843.6500000004</v>
      </c>
      <c r="K344" s="42" t="b">
        <v>0</v>
      </c>
      <c r="L344" s="42">
        <v>3</v>
      </c>
      <c r="M344" s="42" t="s">
        <v>209</v>
      </c>
      <c r="N344" s="42">
        <v>2</v>
      </c>
      <c r="O344" s="42" t="s">
        <v>122</v>
      </c>
      <c r="P344" s="42">
        <v>69</v>
      </c>
      <c r="Q344" s="42" t="s">
        <v>234</v>
      </c>
      <c r="R344" s="42" t="s">
        <v>114</v>
      </c>
      <c r="U344" s="42" t="s">
        <v>121</v>
      </c>
      <c r="V344" s="42">
        <v>1</v>
      </c>
      <c r="W344" s="42" t="s">
        <v>116</v>
      </c>
      <c r="X344" s="42">
        <v>13</v>
      </c>
      <c r="Y344" s="42" t="s">
        <v>166</v>
      </c>
      <c r="Z344" s="42">
        <v>3957427.773</v>
      </c>
      <c r="AA344" s="42">
        <v>1.5069999999999999</v>
      </c>
      <c r="AB344" s="42" t="s">
        <v>36</v>
      </c>
      <c r="AC344" s="42">
        <v>1</v>
      </c>
      <c r="AD344" s="42">
        <v>1</v>
      </c>
      <c r="AE344" s="42">
        <v>5963843.6500000004</v>
      </c>
    </row>
    <row r="345" spans="1:31" x14ac:dyDescent="0.2">
      <c r="A345" s="42" t="s">
        <v>917</v>
      </c>
      <c r="B345" s="42">
        <v>1</v>
      </c>
      <c r="C345" s="42" t="s">
        <v>300</v>
      </c>
      <c r="D345" s="42">
        <v>202</v>
      </c>
      <c r="E345" s="42" t="s">
        <v>391</v>
      </c>
      <c r="F345" s="42" t="s">
        <v>793</v>
      </c>
      <c r="G345" s="42">
        <v>10270</v>
      </c>
      <c r="H345" s="42" t="s">
        <v>794</v>
      </c>
      <c r="I345" s="42">
        <v>8273995.04</v>
      </c>
      <c r="J345" s="42">
        <v>8316667.6600000001</v>
      </c>
      <c r="K345" s="42" t="b">
        <v>0</v>
      </c>
      <c r="L345" s="42">
        <v>3</v>
      </c>
      <c r="M345" s="42" t="s">
        <v>209</v>
      </c>
      <c r="N345" s="42">
        <v>2</v>
      </c>
      <c r="O345" s="42" t="s">
        <v>122</v>
      </c>
      <c r="P345" s="42">
        <v>69</v>
      </c>
      <c r="Q345" s="42" t="s">
        <v>234</v>
      </c>
      <c r="R345" s="42" t="s">
        <v>114</v>
      </c>
      <c r="U345" s="42" t="s">
        <v>121</v>
      </c>
      <c r="V345" s="42">
        <v>1</v>
      </c>
      <c r="W345" s="42" t="s">
        <v>116</v>
      </c>
      <c r="X345" s="42">
        <v>13</v>
      </c>
      <c r="Y345" s="42" t="s">
        <v>166</v>
      </c>
      <c r="Z345" s="42">
        <v>14972846.619000001</v>
      </c>
      <c r="AA345" s="42">
        <v>0.55545</v>
      </c>
      <c r="AB345" s="42" t="s">
        <v>36</v>
      </c>
      <c r="AC345" s="42">
        <v>1</v>
      </c>
      <c r="AD345" s="42">
        <v>1</v>
      </c>
      <c r="AE345" s="42">
        <v>8316667.6500000004</v>
      </c>
    </row>
    <row r="346" spans="1:31" x14ac:dyDescent="0.2">
      <c r="A346" s="42" t="s">
        <v>917</v>
      </c>
      <c r="B346" s="42">
        <v>1</v>
      </c>
      <c r="C346" s="42" t="s">
        <v>300</v>
      </c>
      <c r="D346" s="42">
        <v>202</v>
      </c>
      <c r="E346" s="42" t="s">
        <v>391</v>
      </c>
      <c r="F346" s="42" t="s">
        <v>698</v>
      </c>
      <c r="G346" s="42">
        <v>11553</v>
      </c>
      <c r="H346" s="42" t="s">
        <v>699</v>
      </c>
      <c r="I346" s="42">
        <v>7782844.3200000003</v>
      </c>
      <c r="J346" s="42">
        <v>7782844.3200000003</v>
      </c>
      <c r="K346" s="42" t="b">
        <v>0</v>
      </c>
      <c r="L346" s="42">
        <v>14</v>
      </c>
      <c r="M346" s="42" t="s">
        <v>331</v>
      </c>
      <c r="N346" s="42">
        <v>1</v>
      </c>
      <c r="O346" s="42" t="s">
        <v>112</v>
      </c>
      <c r="P346" s="42">
        <v>247</v>
      </c>
      <c r="Q346" s="42" t="s">
        <v>700</v>
      </c>
      <c r="R346" s="42" t="s">
        <v>114</v>
      </c>
      <c r="U346" s="42" t="s">
        <v>121</v>
      </c>
      <c r="V346" s="42">
        <v>1</v>
      </c>
      <c r="W346" s="42" t="s">
        <v>116</v>
      </c>
      <c r="X346" s="42">
        <v>18</v>
      </c>
      <c r="Y346" s="42" t="s">
        <v>117</v>
      </c>
      <c r="Z346" s="42">
        <v>3082314.5819999999</v>
      </c>
      <c r="AA346" s="42">
        <v>2.5249999999999999</v>
      </c>
      <c r="AB346" s="42" t="s">
        <v>36</v>
      </c>
      <c r="AC346" s="42">
        <v>1</v>
      </c>
      <c r="AD346" s="42">
        <v>1</v>
      </c>
      <c r="AE346" s="42">
        <v>7782844.3200000003</v>
      </c>
    </row>
    <row r="347" spans="1:31" x14ac:dyDescent="0.2">
      <c r="A347" s="42" t="s">
        <v>917</v>
      </c>
      <c r="B347" s="42">
        <v>1</v>
      </c>
      <c r="C347" s="42" t="s">
        <v>300</v>
      </c>
      <c r="D347" s="42">
        <v>202</v>
      </c>
      <c r="E347" s="42" t="s">
        <v>391</v>
      </c>
      <c r="F347" s="42" t="s">
        <v>795</v>
      </c>
      <c r="G347" s="42">
        <v>11966</v>
      </c>
      <c r="H347" s="42" t="s">
        <v>796</v>
      </c>
      <c r="I347" s="42">
        <v>1653819.45</v>
      </c>
      <c r="J347" s="42">
        <v>1653819.45</v>
      </c>
      <c r="K347" s="42" t="b">
        <v>0</v>
      </c>
      <c r="L347" s="42">
        <v>5</v>
      </c>
      <c r="M347" s="42" t="s">
        <v>108</v>
      </c>
      <c r="N347" s="42">
        <v>1</v>
      </c>
      <c r="O347" s="42" t="s">
        <v>112</v>
      </c>
      <c r="P347" s="42">
        <v>22</v>
      </c>
      <c r="Q347" s="42" t="s">
        <v>209</v>
      </c>
      <c r="R347" s="42" t="s">
        <v>114</v>
      </c>
      <c r="U347" s="42" t="s">
        <v>121</v>
      </c>
      <c r="V347" s="42">
        <v>1</v>
      </c>
      <c r="W347" s="42" t="s">
        <v>116</v>
      </c>
      <c r="X347" s="42">
        <v>18</v>
      </c>
      <c r="Y347" s="42" t="s">
        <v>117</v>
      </c>
      <c r="Z347" s="42">
        <v>1736111.12</v>
      </c>
      <c r="AA347" s="42">
        <v>0.9526</v>
      </c>
      <c r="AB347" s="42" t="s">
        <v>36</v>
      </c>
      <c r="AC347" s="42">
        <v>1</v>
      </c>
      <c r="AD347" s="42">
        <v>1</v>
      </c>
      <c r="AE347" s="42">
        <v>1653819.45</v>
      </c>
    </row>
    <row r="348" spans="1:31" x14ac:dyDescent="0.2">
      <c r="A348" s="42" t="s">
        <v>917</v>
      </c>
      <c r="B348" s="42">
        <v>1</v>
      </c>
      <c r="C348" s="42" t="s">
        <v>301</v>
      </c>
      <c r="D348" s="42">
        <v>203</v>
      </c>
      <c r="E348" s="42" t="s">
        <v>389</v>
      </c>
      <c r="F348" s="42" t="s">
        <v>797</v>
      </c>
      <c r="G348" s="42">
        <v>3332</v>
      </c>
      <c r="H348" s="42" t="s">
        <v>798</v>
      </c>
      <c r="I348" s="42">
        <v>4888343.79</v>
      </c>
      <c r="J348" s="42">
        <v>4904802.8600000003</v>
      </c>
      <c r="K348" s="42" t="b">
        <v>1</v>
      </c>
      <c r="L348" s="42">
        <v>11</v>
      </c>
      <c r="M348" s="42" t="s">
        <v>238</v>
      </c>
      <c r="N348" s="42">
        <v>1</v>
      </c>
      <c r="O348" s="42" t="s">
        <v>112</v>
      </c>
      <c r="P348" s="42">
        <v>40</v>
      </c>
      <c r="Q348" s="42" t="s">
        <v>638</v>
      </c>
      <c r="R348" s="42" t="s">
        <v>204</v>
      </c>
      <c r="S348" s="42">
        <v>1</v>
      </c>
      <c r="T348" s="42" t="s">
        <v>205</v>
      </c>
      <c r="U348" s="42" t="s">
        <v>229</v>
      </c>
      <c r="V348" s="42">
        <v>9</v>
      </c>
      <c r="W348" s="42" t="s">
        <v>206</v>
      </c>
      <c r="X348" s="42">
        <v>4</v>
      </c>
      <c r="Y348" s="42" t="s">
        <v>230</v>
      </c>
      <c r="Z348" s="42">
        <v>1645907</v>
      </c>
      <c r="AA348" s="42">
        <v>2.98</v>
      </c>
      <c r="AB348" s="42" t="s">
        <v>36</v>
      </c>
      <c r="AC348" s="42">
        <v>1</v>
      </c>
      <c r="AD348" s="42">
        <v>1</v>
      </c>
      <c r="AE348" s="42">
        <v>4904802.8600000003</v>
      </c>
    </row>
    <row r="349" spans="1:31" x14ac:dyDescent="0.2">
      <c r="A349" s="42" t="s">
        <v>917</v>
      </c>
      <c r="B349" s="42">
        <v>1</v>
      </c>
      <c r="C349" s="42" t="s">
        <v>301</v>
      </c>
      <c r="D349" s="42">
        <v>203</v>
      </c>
      <c r="E349" s="42" t="s">
        <v>389</v>
      </c>
      <c r="F349" s="42" t="s">
        <v>259</v>
      </c>
      <c r="G349" s="42">
        <v>7301</v>
      </c>
      <c r="H349" s="42" t="s">
        <v>260</v>
      </c>
      <c r="I349" s="42">
        <v>1833416.88</v>
      </c>
      <c r="J349" s="42">
        <v>1834895.44</v>
      </c>
      <c r="K349" s="42" t="b">
        <v>1</v>
      </c>
      <c r="L349" s="42">
        <v>5</v>
      </c>
      <c r="M349" s="42" t="s">
        <v>108</v>
      </c>
      <c r="N349" s="42">
        <v>2</v>
      </c>
      <c r="O349" s="42" t="s">
        <v>122</v>
      </c>
      <c r="P349" s="42">
        <v>80</v>
      </c>
      <c r="Q349" s="42" t="s">
        <v>213</v>
      </c>
      <c r="R349" s="42" t="s">
        <v>204</v>
      </c>
      <c r="S349" s="42">
        <v>1</v>
      </c>
      <c r="T349" s="42" t="s">
        <v>205</v>
      </c>
      <c r="U349" s="42" t="s">
        <v>229</v>
      </c>
      <c r="V349" s="42">
        <v>9</v>
      </c>
      <c r="W349" s="42" t="s">
        <v>206</v>
      </c>
      <c r="X349" s="42">
        <v>4</v>
      </c>
      <c r="Y349" s="42" t="s">
        <v>230</v>
      </c>
      <c r="Z349" s="42">
        <v>1478562</v>
      </c>
      <c r="AA349" s="42">
        <v>1.2410000000000001</v>
      </c>
      <c r="AB349" s="42" t="s">
        <v>36</v>
      </c>
      <c r="AC349" s="42">
        <v>1</v>
      </c>
      <c r="AD349" s="42">
        <v>1</v>
      </c>
      <c r="AE349" s="42">
        <v>1834895.44</v>
      </c>
    </row>
    <row r="350" spans="1:31" x14ac:dyDescent="0.2">
      <c r="A350" s="42" t="s">
        <v>917</v>
      </c>
      <c r="B350" s="42">
        <v>1</v>
      </c>
      <c r="C350" s="42" t="s">
        <v>301</v>
      </c>
      <c r="D350" s="42">
        <v>203</v>
      </c>
      <c r="E350" s="42" t="s">
        <v>389</v>
      </c>
      <c r="F350" s="42" t="s">
        <v>799</v>
      </c>
      <c r="G350" s="42">
        <v>7302</v>
      </c>
      <c r="H350" s="42" t="s">
        <v>800</v>
      </c>
      <c r="I350" s="42">
        <v>1876800</v>
      </c>
      <c r="J350" s="42">
        <v>1884160</v>
      </c>
      <c r="K350" s="42" t="b">
        <v>1</v>
      </c>
      <c r="L350" s="42">
        <v>5</v>
      </c>
      <c r="M350" s="42" t="s">
        <v>108</v>
      </c>
      <c r="N350" s="42">
        <v>2</v>
      </c>
      <c r="O350" s="42" t="s">
        <v>122</v>
      </c>
      <c r="P350" s="42">
        <v>184</v>
      </c>
      <c r="Q350" s="42" t="s">
        <v>241</v>
      </c>
      <c r="R350" s="42" t="s">
        <v>204</v>
      </c>
      <c r="S350" s="42">
        <v>1</v>
      </c>
      <c r="T350" s="42" t="s">
        <v>205</v>
      </c>
      <c r="U350" s="42" t="s">
        <v>229</v>
      </c>
      <c r="V350" s="42">
        <v>9</v>
      </c>
      <c r="W350" s="42" t="s">
        <v>206</v>
      </c>
      <c r="X350" s="42">
        <v>4</v>
      </c>
      <c r="Y350" s="42" t="s">
        <v>230</v>
      </c>
      <c r="Z350" s="42">
        <v>1840000</v>
      </c>
      <c r="AA350" s="42">
        <v>1.024</v>
      </c>
      <c r="AB350" s="42" t="s">
        <v>36</v>
      </c>
      <c r="AC350" s="42">
        <v>1</v>
      </c>
      <c r="AD350" s="42">
        <v>1</v>
      </c>
      <c r="AE350" s="42">
        <v>1884160</v>
      </c>
    </row>
    <row r="351" spans="1:31" x14ac:dyDescent="0.2">
      <c r="A351" s="42" t="s">
        <v>917</v>
      </c>
      <c r="B351" s="42">
        <v>1</v>
      </c>
      <c r="C351" s="42" t="s">
        <v>301</v>
      </c>
      <c r="D351" s="42">
        <v>203</v>
      </c>
      <c r="E351" s="42" t="s">
        <v>389</v>
      </c>
      <c r="F351" s="42" t="s">
        <v>801</v>
      </c>
      <c r="G351" s="42">
        <v>9413</v>
      </c>
      <c r="H351" s="42" t="s">
        <v>802</v>
      </c>
      <c r="I351" s="42">
        <v>2629519.23</v>
      </c>
      <c r="J351" s="42">
        <v>2630833.34</v>
      </c>
      <c r="K351" s="42" t="b">
        <v>1</v>
      </c>
      <c r="L351" s="42">
        <v>12</v>
      </c>
      <c r="M351" s="42" t="s">
        <v>222</v>
      </c>
      <c r="N351" s="42">
        <v>1</v>
      </c>
      <c r="O351" s="42" t="s">
        <v>112</v>
      </c>
      <c r="P351" s="42">
        <v>144</v>
      </c>
      <c r="Q351" s="42" t="s">
        <v>223</v>
      </c>
      <c r="R351" s="42" t="s">
        <v>204</v>
      </c>
      <c r="S351" s="42">
        <v>1</v>
      </c>
      <c r="T351" s="42" t="s">
        <v>205</v>
      </c>
      <c r="U351" s="42" t="s">
        <v>115</v>
      </c>
      <c r="V351" s="42">
        <v>9</v>
      </c>
      <c r="W351" s="42" t="s">
        <v>206</v>
      </c>
      <c r="X351" s="42">
        <v>24</v>
      </c>
      <c r="Y351" s="42" t="s">
        <v>224</v>
      </c>
      <c r="Z351" s="42">
        <v>164000</v>
      </c>
      <c r="AA351" s="42">
        <v>20.02</v>
      </c>
      <c r="AB351" s="42" t="s">
        <v>35</v>
      </c>
      <c r="AC351" s="42">
        <v>1.248</v>
      </c>
      <c r="AD351" s="42">
        <v>1</v>
      </c>
      <c r="AE351" s="42">
        <v>2630833.33</v>
      </c>
    </row>
    <row r="352" spans="1:31" x14ac:dyDescent="0.2">
      <c r="A352" s="42" t="s">
        <v>917</v>
      </c>
      <c r="B352" s="42">
        <v>1</v>
      </c>
      <c r="C352" s="42" t="s">
        <v>301</v>
      </c>
      <c r="D352" s="42">
        <v>203</v>
      </c>
      <c r="E352" s="42" t="s">
        <v>389</v>
      </c>
      <c r="F352" s="42" t="s">
        <v>466</v>
      </c>
      <c r="G352" s="42">
        <v>10034</v>
      </c>
      <c r="H352" s="42" t="s">
        <v>467</v>
      </c>
      <c r="I352" s="42">
        <v>2776763.51</v>
      </c>
      <c r="J352" s="42">
        <v>2794427.4</v>
      </c>
      <c r="K352" s="42" t="b">
        <v>1</v>
      </c>
      <c r="L352" s="42">
        <v>5</v>
      </c>
      <c r="M352" s="42" t="s">
        <v>108</v>
      </c>
      <c r="N352" s="42">
        <v>2</v>
      </c>
      <c r="O352" s="42" t="s">
        <v>122</v>
      </c>
      <c r="P352" s="42">
        <v>184</v>
      </c>
      <c r="Q352" s="42" t="s">
        <v>241</v>
      </c>
      <c r="R352" s="42" t="s">
        <v>204</v>
      </c>
      <c r="S352" s="42">
        <v>1</v>
      </c>
      <c r="T352" s="42" t="s">
        <v>205</v>
      </c>
      <c r="U352" s="42" t="s">
        <v>121</v>
      </c>
      <c r="V352" s="42">
        <v>9</v>
      </c>
      <c r="W352" s="42" t="s">
        <v>206</v>
      </c>
      <c r="X352" s="42">
        <v>4</v>
      </c>
      <c r="Y352" s="42" t="s">
        <v>230</v>
      </c>
      <c r="Z352" s="42">
        <v>1766389</v>
      </c>
      <c r="AA352" s="42">
        <v>1.5820000000000001</v>
      </c>
      <c r="AB352" s="42" t="s">
        <v>36</v>
      </c>
      <c r="AC352" s="42">
        <v>1</v>
      </c>
      <c r="AD352" s="42">
        <v>1</v>
      </c>
      <c r="AE352" s="42">
        <v>2794427.4</v>
      </c>
    </row>
    <row r="353" spans="1:31" x14ac:dyDescent="0.2">
      <c r="A353" s="42" t="s">
        <v>917</v>
      </c>
      <c r="B353" s="42">
        <v>1</v>
      </c>
      <c r="C353" s="42" t="s">
        <v>301</v>
      </c>
      <c r="D353" s="42">
        <v>203</v>
      </c>
      <c r="E353" s="42" t="s">
        <v>389</v>
      </c>
      <c r="F353" s="42" t="s">
        <v>676</v>
      </c>
      <c r="G353" s="42">
        <v>10042</v>
      </c>
      <c r="H353" s="42" t="s">
        <v>677</v>
      </c>
      <c r="I353" s="42">
        <v>9611976.6300000008</v>
      </c>
      <c r="J353" s="42">
        <v>9611976.6300000008</v>
      </c>
      <c r="K353" s="42" t="b">
        <v>0</v>
      </c>
      <c r="L353" s="42">
        <v>4</v>
      </c>
      <c r="M353" s="42" t="s">
        <v>128</v>
      </c>
      <c r="N353" s="42">
        <v>1</v>
      </c>
      <c r="O353" s="42" t="s">
        <v>112</v>
      </c>
      <c r="P353" s="42">
        <v>31</v>
      </c>
      <c r="Q353" s="42" t="s">
        <v>330</v>
      </c>
      <c r="R353" s="42" t="s">
        <v>114</v>
      </c>
      <c r="U353" s="42" t="s">
        <v>121</v>
      </c>
      <c r="V353" s="42">
        <v>1</v>
      </c>
      <c r="W353" s="42" t="s">
        <v>116</v>
      </c>
      <c r="X353" s="42">
        <v>18</v>
      </c>
      <c r="Y353" s="42" t="s">
        <v>117</v>
      </c>
      <c r="Z353" s="42">
        <v>9869572.4729999993</v>
      </c>
      <c r="AA353" s="42">
        <v>0.97389999999999999</v>
      </c>
      <c r="AB353" s="42" t="s">
        <v>36</v>
      </c>
      <c r="AC353" s="42">
        <v>1</v>
      </c>
      <c r="AD353" s="42">
        <v>1</v>
      </c>
      <c r="AE353" s="42">
        <v>9611976.6300000008</v>
      </c>
    </row>
    <row r="354" spans="1:31" x14ac:dyDescent="0.2">
      <c r="A354" s="42" t="s">
        <v>917</v>
      </c>
      <c r="B354" s="42">
        <v>1</v>
      </c>
      <c r="C354" s="42" t="s">
        <v>301</v>
      </c>
      <c r="D354" s="42">
        <v>203</v>
      </c>
      <c r="E354" s="42" t="s">
        <v>389</v>
      </c>
      <c r="F354" s="42" t="s">
        <v>803</v>
      </c>
      <c r="G354" s="42">
        <v>10056</v>
      </c>
      <c r="H354" s="42" t="s">
        <v>804</v>
      </c>
      <c r="I354" s="42">
        <v>5673720.7199999997</v>
      </c>
      <c r="J354" s="42">
        <v>5673720.7199999997</v>
      </c>
      <c r="K354" s="42" t="b">
        <v>0</v>
      </c>
      <c r="L354" s="42">
        <v>5</v>
      </c>
      <c r="M354" s="42" t="s">
        <v>108</v>
      </c>
      <c r="N354" s="42">
        <v>2</v>
      </c>
      <c r="O354" s="42" t="s">
        <v>122</v>
      </c>
      <c r="P354" s="42">
        <v>115</v>
      </c>
      <c r="Q354" s="42" t="s">
        <v>254</v>
      </c>
      <c r="R354" s="42" t="s">
        <v>114</v>
      </c>
      <c r="U354" s="42" t="s">
        <v>121</v>
      </c>
      <c r="V354" s="42">
        <v>1</v>
      </c>
      <c r="W354" s="42" t="s">
        <v>116</v>
      </c>
      <c r="X354" s="42">
        <v>18</v>
      </c>
      <c r="Y354" s="42" t="s">
        <v>117</v>
      </c>
      <c r="Z354" s="42">
        <v>5495661.2949999999</v>
      </c>
      <c r="AA354" s="42">
        <v>1.0324</v>
      </c>
      <c r="AB354" s="42" t="s">
        <v>36</v>
      </c>
      <c r="AC354" s="42">
        <v>1</v>
      </c>
      <c r="AD354" s="42">
        <v>1</v>
      </c>
      <c r="AE354" s="42">
        <v>5673720.7199999997</v>
      </c>
    </row>
    <row r="355" spans="1:31" x14ac:dyDescent="0.2">
      <c r="A355" s="42" t="s">
        <v>917</v>
      </c>
      <c r="B355" s="42">
        <v>1</v>
      </c>
      <c r="C355" s="42" t="s">
        <v>301</v>
      </c>
      <c r="D355" s="42">
        <v>203</v>
      </c>
      <c r="E355" s="42" t="s">
        <v>389</v>
      </c>
      <c r="F355" s="42" t="s">
        <v>805</v>
      </c>
      <c r="G355" s="42">
        <v>10065</v>
      </c>
      <c r="H355" s="42" t="s">
        <v>806</v>
      </c>
      <c r="I355" s="42">
        <v>9743356.1099999994</v>
      </c>
      <c r="J355" s="42">
        <v>9743356.1099999994</v>
      </c>
      <c r="K355" s="42" t="b">
        <v>0</v>
      </c>
      <c r="L355" s="42">
        <v>2</v>
      </c>
      <c r="M355" s="42" t="s">
        <v>248</v>
      </c>
      <c r="N355" s="42">
        <v>1</v>
      </c>
      <c r="O355" s="42" t="s">
        <v>112</v>
      </c>
      <c r="P355" s="42">
        <v>63</v>
      </c>
      <c r="Q355" s="42" t="s">
        <v>324</v>
      </c>
      <c r="R355" s="42" t="s">
        <v>114</v>
      </c>
      <c r="U355" s="42" t="s">
        <v>115</v>
      </c>
      <c r="V355" s="42">
        <v>1</v>
      </c>
      <c r="W355" s="42" t="s">
        <v>116</v>
      </c>
      <c r="X355" s="42">
        <v>18</v>
      </c>
      <c r="Y355" s="42" t="s">
        <v>117</v>
      </c>
      <c r="Z355" s="42">
        <v>78457.45</v>
      </c>
      <c r="AA355" s="42">
        <v>124.1865</v>
      </c>
      <c r="AB355" s="42" t="s">
        <v>36</v>
      </c>
      <c r="AC355" s="42">
        <v>1</v>
      </c>
      <c r="AD355" s="42">
        <v>1</v>
      </c>
      <c r="AE355" s="42">
        <v>9743356.1099999994</v>
      </c>
    </row>
    <row r="356" spans="1:31" x14ac:dyDescent="0.2">
      <c r="A356" s="42" t="s">
        <v>917</v>
      </c>
      <c r="B356" s="42">
        <v>1</v>
      </c>
      <c r="C356" s="42" t="s">
        <v>301</v>
      </c>
      <c r="D356" s="42">
        <v>203</v>
      </c>
      <c r="E356" s="42" t="s">
        <v>389</v>
      </c>
      <c r="F356" s="42" t="s">
        <v>807</v>
      </c>
      <c r="G356" s="42">
        <v>10073</v>
      </c>
      <c r="H356" s="42" t="s">
        <v>808</v>
      </c>
      <c r="I356" s="42">
        <v>6597279.8899999997</v>
      </c>
      <c r="J356" s="42">
        <v>6597279.8899999997</v>
      </c>
      <c r="K356" s="42" t="b">
        <v>0</v>
      </c>
      <c r="L356" s="42">
        <v>4</v>
      </c>
      <c r="M356" s="42" t="s">
        <v>128</v>
      </c>
      <c r="N356" s="42">
        <v>1</v>
      </c>
      <c r="O356" s="42" t="s">
        <v>112</v>
      </c>
      <c r="P356" s="42">
        <v>31</v>
      </c>
      <c r="Q356" s="42" t="s">
        <v>330</v>
      </c>
      <c r="R356" s="42" t="s">
        <v>114</v>
      </c>
      <c r="U356" s="42" t="s">
        <v>212</v>
      </c>
      <c r="V356" s="42">
        <v>1</v>
      </c>
      <c r="W356" s="42" t="s">
        <v>116</v>
      </c>
      <c r="X356" s="42">
        <v>18</v>
      </c>
      <c r="Y356" s="42" t="s">
        <v>117</v>
      </c>
      <c r="Z356" s="42">
        <v>69023.644</v>
      </c>
      <c r="AA356" s="42">
        <v>95.58</v>
      </c>
      <c r="AB356" s="42" t="s">
        <v>36</v>
      </c>
      <c r="AC356" s="42">
        <v>1</v>
      </c>
      <c r="AD356" s="42">
        <v>1</v>
      </c>
      <c r="AE356" s="42">
        <v>6597279.8899999997</v>
      </c>
    </row>
    <row r="357" spans="1:31" x14ac:dyDescent="0.2">
      <c r="A357" s="42" t="s">
        <v>917</v>
      </c>
      <c r="B357" s="42">
        <v>1</v>
      </c>
      <c r="C357" s="42" t="s">
        <v>301</v>
      </c>
      <c r="D357" s="42">
        <v>203</v>
      </c>
      <c r="E357" s="42" t="s">
        <v>389</v>
      </c>
      <c r="F357" s="42" t="s">
        <v>682</v>
      </c>
      <c r="G357" s="42">
        <v>10103</v>
      </c>
      <c r="H357" s="42" t="s">
        <v>683</v>
      </c>
      <c r="I357" s="42">
        <v>5148331.17</v>
      </c>
      <c r="J357" s="42">
        <v>5148331.17</v>
      </c>
      <c r="K357" s="42" t="b">
        <v>0</v>
      </c>
      <c r="L357" s="42">
        <v>2</v>
      </c>
      <c r="M357" s="42" t="s">
        <v>248</v>
      </c>
      <c r="N357" s="42">
        <v>1</v>
      </c>
      <c r="O357" s="42" t="s">
        <v>112</v>
      </c>
      <c r="P357" s="42">
        <v>63</v>
      </c>
      <c r="Q357" s="42" t="s">
        <v>324</v>
      </c>
      <c r="R357" s="42" t="s">
        <v>114</v>
      </c>
      <c r="U357" s="42" t="s">
        <v>121</v>
      </c>
      <c r="V357" s="42">
        <v>1</v>
      </c>
      <c r="W357" s="42" t="s">
        <v>116</v>
      </c>
      <c r="X357" s="42">
        <v>18</v>
      </c>
      <c r="Y357" s="42" t="s">
        <v>117</v>
      </c>
      <c r="Z357" s="42">
        <v>2237432.0603999998</v>
      </c>
      <c r="AA357" s="42">
        <v>2.3010000000000002</v>
      </c>
      <c r="AB357" s="42" t="s">
        <v>36</v>
      </c>
      <c r="AC357" s="42">
        <v>1</v>
      </c>
      <c r="AD357" s="42">
        <v>1</v>
      </c>
      <c r="AE357" s="42">
        <v>5148331.17</v>
      </c>
    </row>
    <row r="358" spans="1:31" x14ac:dyDescent="0.2">
      <c r="A358" s="42" t="s">
        <v>917</v>
      </c>
      <c r="B358" s="42">
        <v>1</v>
      </c>
      <c r="C358" s="42" t="s">
        <v>301</v>
      </c>
      <c r="D358" s="42">
        <v>203</v>
      </c>
      <c r="E358" s="42" t="s">
        <v>389</v>
      </c>
      <c r="F358" s="42" t="s">
        <v>809</v>
      </c>
      <c r="G358" s="42">
        <v>10104</v>
      </c>
      <c r="H358" s="42" t="s">
        <v>810</v>
      </c>
      <c r="I358" s="42">
        <v>7293326.9299999997</v>
      </c>
      <c r="J358" s="42">
        <v>7293326.9299999997</v>
      </c>
      <c r="K358" s="42" t="b">
        <v>0</v>
      </c>
      <c r="L358" s="42">
        <v>5</v>
      </c>
      <c r="M358" s="42" t="s">
        <v>108</v>
      </c>
      <c r="N358" s="42">
        <v>1</v>
      </c>
      <c r="O358" s="42" t="s">
        <v>112</v>
      </c>
      <c r="P358" s="42">
        <v>80</v>
      </c>
      <c r="Q358" s="42" t="s">
        <v>213</v>
      </c>
      <c r="R358" s="42" t="s">
        <v>114</v>
      </c>
      <c r="U358" s="42" t="s">
        <v>121</v>
      </c>
      <c r="V358" s="42">
        <v>1</v>
      </c>
      <c r="W358" s="42" t="s">
        <v>116</v>
      </c>
      <c r="X358" s="42">
        <v>18</v>
      </c>
      <c r="Y358" s="42" t="s">
        <v>117</v>
      </c>
      <c r="Z358" s="42">
        <v>5759556.9239999996</v>
      </c>
      <c r="AA358" s="42">
        <v>1.2663</v>
      </c>
      <c r="AB358" s="42" t="s">
        <v>36</v>
      </c>
      <c r="AC358" s="42">
        <v>1</v>
      </c>
      <c r="AD358" s="42">
        <v>1</v>
      </c>
      <c r="AE358" s="42">
        <v>7293326.9299999997</v>
      </c>
    </row>
    <row r="359" spans="1:31" x14ac:dyDescent="0.2">
      <c r="A359" s="42" t="s">
        <v>917</v>
      </c>
      <c r="B359" s="42">
        <v>1</v>
      </c>
      <c r="C359" s="42" t="s">
        <v>301</v>
      </c>
      <c r="D359" s="42">
        <v>203</v>
      </c>
      <c r="E359" s="42" t="s">
        <v>389</v>
      </c>
      <c r="F359" s="42" t="s">
        <v>684</v>
      </c>
      <c r="G359" s="42">
        <v>10107</v>
      </c>
      <c r="H359" s="42" t="s">
        <v>685</v>
      </c>
      <c r="I359" s="42">
        <v>10740922.24</v>
      </c>
      <c r="J359" s="42">
        <v>10740922.24</v>
      </c>
      <c r="K359" s="42" t="b">
        <v>0</v>
      </c>
      <c r="L359" s="42">
        <v>2</v>
      </c>
      <c r="M359" s="42" t="s">
        <v>248</v>
      </c>
      <c r="N359" s="42">
        <v>1</v>
      </c>
      <c r="O359" s="42" t="s">
        <v>112</v>
      </c>
      <c r="P359" s="42">
        <v>63</v>
      </c>
      <c r="Q359" s="42" t="s">
        <v>324</v>
      </c>
      <c r="R359" s="42" t="s">
        <v>114</v>
      </c>
      <c r="U359" s="42" t="s">
        <v>121</v>
      </c>
      <c r="V359" s="42">
        <v>1</v>
      </c>
      <c r="W359" s="42" t="s">
        <v>116</v>
      </c>
      <c r="X359" s="42">
        <v>18</v>
      </c>
      <c r="Y359" s="42" t="s">
        <v>117</v>
      </c>
      <c r="Z359" s="42">
        <v>7199009.5439999998</v>
      </c>
      <c r="AA359" s="42">
        <v>1.492</v>
      </c>
      <c r="AB359" s="42" t="s">
        <v>36</v>
      </c>
      <c r="AC359" s="42">
        <v>1</v>
      </c>
      <c r="AD359" s="42">
        <v>1</v>
      </c>
      <c r="AE359" s="42">
        <v>10740922.24</v>
      </c>
    </row>
    <row r="360" spans="1:31" x14ac:dyDescent="0.2">
      <c r="A360" s="42" t="s">
        <v>917</v>
      </c>
      <c r="B360" s="42">
        <v>1</v>
      </c>
      <c r="C360" s="42" t="s">
        <v>301</v>
      </c>
      <c r="D360" s="42">
        <v>203</v>
      </c>
      <c r="E360" s="42" t="s">
        <v>389</v>
      </c>
      <c r="F360" s="42" t="s">
        <v>811</v>
      </c>
      <c r="G360" s="42">
        <v>10265</v>
      </c>
      <c r="H360" s="42" t="s">
        <v>812</v>
      </c>
      <c r="I360" s="42">
        <v>5118301.3099999996</v>
      </c>
      <c r="J360" s="42">
        <v>5118301.3099999996</v>
      </c>
      <c r="K360" s="42" t="b">
        <v>0</v>
      </c>
      <c r="L360" s="42">
        <v>2</v>
      </c>
      <c r="M360" s="42" t="s">
        <v>248</v>
      </c>
      <c r="N360" s="42">
        <v>1</v>
      </c>
      <c r="O360" s="42" t="s">
        <v>112</v>
      </c>
      <c r="P360" s="42">
        <v>63</v>
      </c>
      <c r="Q360" s="42" t="s">
        <v>324</v>
      </c>
      <c r="R360" s="42" t="s">
        <v>114</v>
      </c>
      <c r="U360" s="42" t="s">
        <v>212</v>
      </c>
      <c r="V360" s="42">
        <v>1</v>
      </c>
      <c r="W360" s="42" t="s">
        <v>116</v>
      </c>
      <c r="X360" s="42">
        <v>18</v>
      </c>
      <c r="Y360" s="42" t="s">
        <v>117</v>
      </c>
      <c r="Z360" s="42">
        <v>47000.012000000002</v>
      </c>
      <c r="AA360" s="42">
        <v>108.9</v>
      </c>
      <c r="AB360" s="42" t="s">
        <v>36</v>
      </c>
      <c r="AC360" s="42">
        <v>1</v>
      </c>
      <c r="AD360" s="42">
        <v>1</v>
      </c>
      <c r="AE360" s="42">
        <v>5118301.3099999996</v>
      </c>
    </row>
    <row r="361" spans="1:31" x14ac:dyDescent="0.2">
      <c r="A361" s="42" t="s">
        <v>917</v>
      </c>
      <c r="B361" s="42">
        <v>1</v>
      </c>
      <c r="C361" s="42" t="s">
        <v>301</v>
      </c>
      <c r="D361" s="42">
        <v>203</v>
      </c>
      <c r="E361" s="42" t="s">
        <v>389</v>
      </c>
      <c r="F361" s="42" t="s">
        <v>347</v>
      </c>
      <c r="G361" s="42">
        <v>10278</v>
      </c>
      <c r="H361" s="42" t="s">
        <v>348</v>
      </c>
      <c r="I361" s="42">
        <v>2096952</v>
      </c>
      <c r="J361" s="42">
        <v>2116504</v>
      </c>
      <c r="K361" s="42" t="b">
        <v>1</v>
      </c>
      <c r="L361" s="42">
        <v>5</v>
      </c>
      <c r="M361" s="42" t="s">
        <v>108</v>
      </c>
      <c r="N361" s="42">
        <v>2</v>
      </c>
      <c r="O361" s="42" t="s">
        <v>122</v>
      </c>
      <c r="P361" s="42">
        <v>181</v>
      </c>
      <c r="Q361" s="42" t="s">
        <v>220</v>
      </c>
      <c r="R361" s="42" t="s">
        <v>204</v>
      </c>
      <c r="S361" s="42">
        <v>1</v>
      </c>
      <c r="T361" s="42" t="s">
        <v>205</v>
      </c>
      <c r="U361" s="42" t="s">
        <v>229</v>
      </c>
      <c r="V361" s="42">
        <v>9</v>
      </c>
      <c r="W361" s="42" t="s">
        <v>206</v>
      </c>
      <c r="X361" s="42">
        <v>4</v>
      </c>
      <c r="Y361" s="42" t="s">
        <v>230</v>
      </c>
      <c r="Z361" s="42">
        <v>2444000</v>
      </c>
      <c r="AA361" s="42">
        <v>0.86599999999999999</v>
      </c>
      <c r="AB361" s="42" t="s">
        <v>36</v>
      </c>
      <c r="AC361" s="42">
        <v>1</v>
      </c>
      <c r="AD361" s="42">
        <v>1</v>
      </c>
      <c r="AE361" s="42">
        <v>2116504</v>
      </c>
    </row>
    <row r="362" spans="1:31" x14ac:dyDescent="0.2">
      <c r="A362" s="42" t="s">
        <v>917</v>
      </c>
      <c r="B362" s="42">
        <v>1</v>
      </c>
      <c r="C362" s="42" t="s">
        <v>301</v>
      </c>
      <c r="D362" s="42">
        <v>203</v>
      </c>
      <c r="E362" s="42" t="s">
        <v>389</v>
      </c>
      <c r="F362" s="42" t="s">
        <v>813</v>
      </c>
      <c r="G362" s="42">
        <v>10624</v>
      </c>
      <c r="H362" s="42" t="s">
        <v>814</v>
      </c>
      <c r="I362" s="42">
        <v>5022968.75</v>
      </c>
      <c r="J362" s="42">
        <v>5049531.25</v>
      </c>
      <c r="K362" s="42" t="b">
        <v>1</v>
      </c>
      <c r="L362" s="42">
        <v>4</v>
      </c>
      <c r="M362" s="42" t="s">
        <v>128</v>
      </c>
      <c r="N362" s="42">
        <v>2</v>
      </c>
      <c r="O362" s="42" t="s">
        <v>122</v>
      </c>
      <c r="P362" s="42">
        <v>180</v>
      </c>
      <c r="Q362" s="42" t="s">
        <v>214</v>
      </c>
      <c r="R362" s="42" t="s">
        <v>114</v>
      </c>
      <c r="U362" s="42" t="s">
        <v>121</v>
      </c>
      <c r="V362" s="42">
        <v>9</v>
      </c>
      <c r="W362" s="42" t="s">
        <v>206</v>
      </c>
      <c r="X362" s="42">
        <v>23</v>
      </c>
      <c r="Y362" s="42" t="s">
        <v>232</v>
      </c>
      <c r="Z362" s="42">
        <v>6630000</v>
      </c>
      <c r="AA362" s="42">
        <v>95.05</v>
      </c>
      <c r="AB362" s="42" t="s">
        <v>35</v>
      </c>
      <c r="AC362" s="42">
        <v>1.248</v>
      </c>
      <c r="AD362" s="42">
        <v>100</v>
      </c>
      <c r="AE362" s="42">
        <v>5049531.25</v>
      </c>
    </row>
    <row r="363" spans="1:31" x14ac:dyDescent="0.2">
      <c r="A363" s="42" t="s">
        <v>917</v>
      </c>
      <c r="B363" s="42">
        <v>1</v>
      </c>
      <c r="C363" s="42" t="s">
        <v>301</v>
      </c>
      <c r="D363" s="42">
        <v>203</v>
      </c>
      <c r="E363" s="42" t="s">
        <v>389</v>
      </c>
      <c r="F363" s="42" t="s">
        <v>815</v>
      </c>
      <c r="G363" s="42">
        <v>11640</v>
      </c>
      <c r="H363" s="42" t="s">
        <v>816</v>
      </c>
      <c r="I363" s="42">
        <v>1520395</v>
      </c>
      <c r="J363" s="42">
        <v>1528145</v>
      </c>
      <c r="K363" s="42" t="b">
        <v>1</v>
      </c>
      <c r="L363" s="42">
        <v>15</v>
      </c>
      <c r="M363" s="42" t="s">
        <v>232</v>
      </c>
      <c r="N363" s="42">
        <v>29</v>
      </c>
      <c r="O363" s="42" t="s">
        <v>142</v>
      </c>
      <c r="P363" s="42">
        <v>180</v>
      </c>
      <c r="Q363" s="42" t="s">
        <v>214</v>
      </c>
      <c r="R363" s="42" t="s">
        <v>114</v>
      </c>
      <c r="U363" s="42" t="s">
        <v>244</v>
      </c>
      <c r="V363" s="42">
        <v>9</v>
      </c>
      <c r="W363" s="42" t="s">
        <v>206</v>
      </c>
      <c r="X363" s="42">
        <v>23</v>
      </c>
      <c r="Y363" s="42" t="s">
        <v>232</v>
      </c>
      <c r="Z363" s="42">
        <v>1550000</v>
      </c>
      <c r="AA363" s="42">
        <v>98.59</v>
      </c>
      <c r="AB363" s="42" t="s">
        <v>36</v>
      </c>
      <c r="AC363" s="42">
        <v>1</v>
      </c>
      <c r="AD363" s="42">
        <v>100</v>
      </c>
      <c r="AE363" s="42">
        <v>1528145</v>
      </c>
    </row>
    <row r="364" spans="1:31" x14ac:dyDescent="0.2">
      <c r="A364" s="42" t="s">
        <v>917</v>
      </c>
      <c r="B364" s="42">
        <v>1</v>
      </c>
      <c r="C364" s="42" t="s">
        <v>301</v>
      </c>
      <c r="D364" s="42">
        <v>203</v>
      </c>
      <c r="E364" s="42" t="s">
        <v>389</v>
      </c>
      <c r="F364" s="42" t="s">
        <v>567</v>
      </c>
      <c r="G364" s="42">
        <v>11815</v>
      </c>
      <c r="H364" s="42" t="s">
        <v>568</v>
      </c>
      <c r="I364" s="42">
        <v>8157857.2199999997</v>
      </c>
      <c r="J364" s="42">
        <v>8157857.2199999997</v>
      </c>
      <c r="K364" s="42" t="b">
        <v>0</v>
      </c>
      <c r="L364" s="42">
        <v>5</v>
      </c>
      <c r="M364" s="42" t="s">
        <v>108</v>
      </c>
      <c r="N364" s="42">
        <v>1</v>
      </c>
      <c r="O364" s="42" t="s">
        <v>112</v>
      </c>
      <c r="P364" s="42">
        <v>115</v>
      </c>
      <c r="Q364" s="42" t="s">
        <v>254</v>
      </c>
      <c r="R364" s="42" t="s">
        <v>114</v>
      </c>
      <c r="U364" s="42" t="s">
        <v>121</v>
      </c>
      <c r="V364" s="42">
        <v>1</v>
      </c>
      <c r="W364" s="42" t="s">
        <v>116</v>
      </c>
      <c r="X364" s="42">
        <v>18</v>
      </c>
      <c r="Y364" s="42" t="s">
        <v>117</v>
      </c>
      <c r="Z364" s="42">
        <v>6256025.4720000001</v>
      </c>
      <c r="AA364" s="42">
        <v>1.304</v>
      </c>
      <c r="AB364" s="42" t="s">
        <v>36</v>
      </c>
      <c r="AC364" s="42">
        <v>1</v>
      </c>
      <c r="AD364" s="42">
        <v>1</v>
      </c>
      <c r="AE364" s="42">
        <v>8157857.2199999997</v>
      </c>
    </row>
    <row r="365" spans="1:31" x14ac:dyDescent="0.2">
      <c r="A365" s="42" t="s">
        <v>917</v>
      </c>
      <c r="B365" s="42">
        <v>1</v>
      </c>
      <c r="C365" s="42" t="s">
        <v>301</v>
      </c>
      <c r="D365" s="42">
        <v>203</v>
      </c>
      <c r="E365" s="42" t="s">
        <v>389</v>
      </c>
      <c r="F365" s="42" t="s">
        <v>817</v>
      </c>
      <c r="G365" s="42">
        <v>11820</v>
      </c>
      <c r="H365" s="42" t="s">
        <v>818</v>
      </c>
      <c r="I365" s="42">
        <v>5956491.25</v>
      </c>
      <c r="J365" s="42">
        <v>5956491.25</v>
      </c>
      <c r="K365" s="42" t="b">
        <v>0</v>
      </c>
      <c r="L365" s="42">
        <v>11</v>
      </c>
      <c r="M365" s="42" t="s">
        <v>238</v>
      </c>
      <c r="N365" s="42">
        <v>33</v>
      </c>
      <c r="O365" s="42" t="s">
        <v>265</v>
      </c>
      <c r="P365" s="42">
        <v>206</v>
      </c>
      <c r="Q365" s="42" t="s">
        <v>228</v>
      </c>
      <c r="R365" s="42" t="s">
        <v>231</v>
      </c>
      <c r="U365" s="42" t="s">
        <v>212</v>
      </c>
      <c r="V365" s="42">
        <v>1</v>
      </c>
      <c r="W365" s="42" t="s">
        <v>116</v>
      </c>
      <c r="X365" s="42">
        <v>18</v>
      </c>
      <c r="Y365" s="42" t="s">
        <v>117</v>
      </c>
      <c r="Z365" s="42">
        <v>473112.88699999999</v>
      </c>
      <c r="AA365" s="42">
        <v>12.59</v>
      </c>
      <c r="AB365" s="42" t="s">
        <v>36</v>
      </c>
      <c r="AC365" s="42">
        <v>1</v>
      </c>
      <c r="AD365" s="42">
        <v>1</v>
      </c>
      <c r="AE365" s="42">
        <v>5956491.25</v>
      </c>
    </row>
    <row r="366" spans="1:31" x14ac:dyDescent="0.2">
      <c r="A366" s="42" t="s">
        <v>917</v>
      </c>
      <c r="B366" s="42">
        <v>1</v>
      </c>
      <c r="C366" s="42" t="s">
        <v>302</v>
      </c>
      <c r="D366" s="42">
        <v>204</v>
      </c>
      <c r="E366" s="42" t="s">
        <v>392</v>
      </c>
      <c r="F366" s="42" t="s">
        <v>780</v>
      </c>
      <c r="G366" s="42">
        <v>6832</v>
      </c>
      <c r="H366" s="42" t="s">
        <v>781</v>
      </c>
      <c r="I366" s="42">
        <v>1280381.1599999999</v>
      </c>
      <c r="J366" s="42">
        <v>1303245.1100000001</v>
      </c>
      <c r="K366" s="42" t="b">
        <v>1</v>
      </c>
      <c r="L366" s="42">
        <v>3</v>
      </c>
      <c r="M366" s="42" t="s">
        <v>209</v>
      </c>
      <c r="N366" s="42">
        <v>2</v>
      </c>
      <c r="O366" s="42" t="s">
        <v>122</v>
      </c>
      <c r="P366" s="42">
        <v>180</v>
      </c>
      <c r="Q366" s="42" t="s">
        <v>214</v>
      </c>
      <c r="R366" s="42" t="s">
        <v>204</v>
      </c>
      <c r="S366" s="42">
        <v>1</v>
      </c>
      <c r="T366" s="42" t="s">
        <v>205</v>
      </c>
      <c r="U366" s="42" t="s">
        <v>121</v>
      </c>
      <c r="V366" s="42">
        <v>9</v>
      </c>
      <c r="W366" s="42" t="s">
        <v>206</v>
      </c>
      <c r="X366" s="42">
        <v>25</v>
      </c>
      <c r="Y366" s="42" t="s">
        <v>227</v>
      </c>
      <c r="Z366" s="42">
        <v>2950187</v>
      </c>
      <c r="AA366" s="42">
        <v>0.44174999999999998</v>
      </c>
      <c r="AB366" s="42" t="s">
        <v>36</v>
      </c>
      <c r="AC366" s="42">
        <v>1</v>
      </c>
      <c r="AD366" s="42">
        <v>1</v>
      </c>
      <c r="AE366" s="42">
        <v>1303245.1100000001</v>
      </c>
    </row>
    <row r="367" spans="1:31" x14ac:dyDescent="0.2">
      <c r="A367" s="42" t="s">
        <v>917</v>
      </c>
      <c r="B367" s="42">
        <v>1</v>
      </c>
      <c r="C367" s="42" t="s">
        <v>302</v>
      </c>
      <c r="D367" s="42">
        <v>204</v>
      </c>
      <c r="E367" s="42" t="s">
        <v>392</v>
      </c>
      <c r="F367" s="42" t="s">
        <v>819</v>
      </c>
      <c r="G367" s="42">
        <v>7127</v>
      </c>
      <c r="H367" s="42" t="s">
        <v>820</v>
      </c>
      <c r="I367" s="42">
        <v>5035618.0999999996</v>
      </c>
      <c r="J367" s="42">
        <v>5035618.0999999996</v>
      </c>
      <c r="K367" s="42" t="b">
        <v>0</v>
      </c>
      <c r="L367" s="42">
        <v>5</v>
      </c>
      <c r="M367" s="42" t="s">
        <v>108</v>
      </c>
      <c r="N367" s="42">
        <v>2</v>
      </c>
      <c r="O367" s="42" t="s">
        <v>122</v>
      </c>
      <c r="P367" s="42">
        <v>2</v>
      </c>
      <c r="Q367" s="42" t="s">
        <v>322</v>
      </c>
      <c r="R367" s="42" t="s">
        <v>114</v>
      </c>
      <c r="U367" s="42" t="s">
        <v>121</v>
      </c>
      <c r="V367" s="42">
        <v>1</v>
      </c>
      <c r="W367" s="42" t="s">
        <v>116</v>
      </c>
      <c r="X367" s="42">
        <v>18</v>
      </c>
      <c r="Y367" s="42" t="s">
        <v>117</v>
      </c>
      <c r="Z367" s="42">
        <v>3230030.85</v>
      </c>
      <c r="AA367" s="42">
        <v>1.5589999999999999</v>
      </c>
      <c r="AB367" s="42" t="s">
        <v>36</v>
      </c>
      <c r="AC367" s="42">
        <v>1</v>
      </c>
      <c r="AD367" s="42">
        <v>1</v>
      </c>
      <c r="AE367" s="42">
        <v>5035618.0999999996</v>
      </c>
    </row>
    <row r="368" spans="1:31" x14ac:dyDescent="0.2">
      <c r="A368" s="42" t="s">
        <v>917</v>
      </c>
      <c r="B368" s="42">
        <v>1</v>
      </c>
      <c r="C368" s="42" t="s">
        <v>302</v>
      </c>
      <c r="D368" s="42">
        <v>204</v>
      </c>
      <c r="E368" s="42" t="s">
        <v>392</v>
      </c>
      <c r="F368" s="42" t="s">
        <v>259</v>
      </c>
      <c r="G368" s="42">
        <v>7301</v>
      </c>
      <c r="H368" s="42" t="s">
        <v>260</v>
      </c>
      <c r="I368" s="42">
        <v>2039462.72</v>
      </c>
      <c r="J368" s="42">
        <v>2041107.45</v>
      </c>
      <c r="K368" s="42" t="b">
        <v>1</v>
      </c>
      <c r="L368" s="42">
        <v>5</v>
      </c>
      <c r="M368" s="42" t="s">
        <v>108</v>
      </c>
      <c r="N368" s="42">
        <v>2</v>
      </c>
      <c r="O368" s="42" t="s">
        <v>122</v>
      </c>
      <c r="P368" s="42">
        <v>80</v>
      </c>
      <c r="Q368" s="42" t="s">
        <v>213</v>
      </c>
      <c r="R368" s="42" t="s">
        <v>204</v>
      </c>
      <c r="S368" s="42">
        <v>1</v>
      </c>
      <c r="T368" s="42" t="s">
        <v>205</v>
      </c>
      <c r="U368" s="42" t="s">
        <v>229</v>
      </c>
      <c r="V368" s="42">
        <v>9</v>
      </c>
      <c r="W368" s="42" t="s">
        <v>206</v>
      </c>
      <c r="X368" s="42">
        <v>4</v>
      </c>
      <c r="Y368" s="42" t="s">
        <v>230</v>
      </c>
      <c r="Z368" s="42">
        <v>1644728</v>
      </c>
      <c r="AA368" s="42">
        <v>1.2410000000000001</v>
      </c>
      <c r="AB368" s="42" t="s">
        <v>36</v>
      </c>
      <c r="AC368" s="42">
        <v>1</v>
      </c>
      <c r="AD368" s="42">
        <v>1</v>
      </c>
      <c r="AE368" s="42">
        <v>2041107.45</v>
      </c>
    </row>
    <row r="369" spans="1:31" x14ac:dyDescent="0.2">
      <c r="A369" s="42" t="s">
        <v>917</v>
      </c>
      <c r="B369" s="42">
        <v>1</v>
      </c>
      <c r="C369" s="42" t="s">
        <v>302</v>
      </c>
      <c r="D369" s="42">
        <v>204</v>
      </c>
      <c r="E369" s="42" t="s">
        <v>392</v>
      </c>
      <c r="F369" s="42" t="s">
        <v>617</v>
      </c>
      <c r="G369" s="42">
        <v>9385</v>
      </c>
      <c r="H369" s="42" t="s">
        <v>618</v>
      </c>
      <c r="I369" s="42">
        <v>2241078.9700000002</v>
      </c>
      <c r="J369" s="42">
        <v>2243859.4700000002</v>
      </c>
      <c r="K369" s="42" t="b">
        <v>1</v>
      </c>
      <c r="L369" s="42">
        <v>3</v>
      </c>
      <c r="M369" s="42" t="s">
        <v>209</v>
      </c>
      <c r="N369" s="42">
        <v>2</v>
      </c>
      <c r="O369" s="42" t="s">
        <v>122</v>
      </c>
      <c r="P369" s="42">
        <v>22</v>
      </c>
      <c r="Q369" s="42" t="s">
        <v>209</v>
      </c>
      <c r="R369" s="42" t="s">
        <v>204</v>
      </c>
      <c r="S369" s="42">
        <v>1</v>
      </c>
      <c r="T369" s="42" t="s">
        <v>205</v>
      </c>
      <c r="U369" s="42" t="s">
        <v>121</v>
      </c>
      <c r="V369" s="42">
        <v>9</v>
      </c>
      <c r="W369" s="42" t="s">
        <v>206</v>
      </c>
      <c r="X369" s="42">
        <v>25</v>
      </c>
      <c r="Y369" s="42" t="s">
        <v>227</v>
      </c>
      <c r="Z369" s="42">
        <v>2780495</v>
      </c>
      <c r="AA369" s="42">
        <v>0.80700000000000005</v>
      </c>
      <c r="AB369" s="42" t="s">
        <v>36</v>
      </c>
      <c r="AC369" s="42">
        <v>1</v>
      </c>
      <c r="AD369" s="42">
        <v>1</v>
      </c>
      <c r="AE369" s="42">
        <v>2243859.4700000002</v>
      </c>
    </row>
    <row r="370" spans="1:31" x14ac:dyDescent="0.2">
      <c r="A370" s="42" t="s">
        <v>917</v>
      </c>
      <c r="B370" s="42">
        <v>1</v>
      </c>
      <c r="C370" s="42" t="s">
        <v>302</v>
      </c>
      <c r="D370" s="42">
        <v>204</v>
      </c>
      <c r="E370" s="42" t="s">
        <v>392</v>
      </c>
      <c r="F370" s="42" t="s">
        <v>821</v>
      </c>
      <c r="G370" s="42">
        <v>10022</v>
      </c>
      <c r="H370" s="42" t="s">
        <v>822</v>
      </c>
      <c r="I370" s="42">
        <v>7354592.54</v>
      </c>
      <c r="J370" s="42">
        <v>7354592.54</v>
      </c>
      <c r="K370" s="42" t="b">
        <v>0</v>
      </c>
      <c r="L370" s="42">
        <v>5</v>
      </c>
      <c r="M370" s="42" t="s">
        <v>108</v>
      </c>
      <c r="N370" s="42">
        <v>1</v>
      </c>
      <c r="O370" s="42" t="s">
        <v>112</v>
      </c>
      <c r="P370" s="42">
        <v>51</v>
      </c>
      <c r="Q370" s="42" t="s">
        <v>112</v>
      </c>
      <c r="R370" s="42" t="s">
        <v>114</v>
      </c>
      <c r="U370" s="42" t="s">
        <v>121</v>
      </c>
      <c r="V370" s="42">
        <v>1</v>
      </c>
      <c r="W370" s="42" t="s">
        <v>116</v>
      </c>
      <c r="X370" s="42">
        <v>18</v>
      </c>
      <c r="Y370" s="42" t="s">
        <v>117</v>
      </c>
      <c r="Z370" s="42">
        <v>1433643.77</v>
      </c>
      <c r="AA370" s="42">
        <v>5.13</v>
      </c>
      <c r="AB370" s="42" t="s">
        <v>36</v>
      </c>
      <c r="AC370" s="42">
        <v>1</v>
      </c>
      <c r="AD370" s="42">
        <v>1</v>
      </c>
      <c r="AE370" s="42">
        <v>7354592.54</v>
      </c>
    </row>
    <row r="371" spans="1:31" x14ac:dyDescent="0.2">
      <c r="A371" s="42" t="s">
        <v>917</v>
      </c>
      <c r="B371" s="42">
        <v>1</v>
      </c>
      <c r="C371" s="42" t="s">
        <v>302</v>
      </c>
      <c r="D371" s="42">
        <v>204</v>
      </c>
      <c r="E371" s="42" t="s">
        <v>392</v>
      </c>
      <c r="F371" s="42" t="s">
        <v>768</v>
      </c>
      <c r="G371" s="42">
        <v>10029</v>
      </c>
      <c r="H371" s="42" t="s">
        <v>769</v>
      </c>
      <c r="I371" s="42">
        <v>4109816.41</v>
      </c>
      <c r="J371" s="42">
        <v>4109816.41</v>
      </c>
      <c r="K371" s="42" t="b">
        <v>0</v>
      </c>
      <c r="L371" s="42">
        <v>5</v>
      </c>
      <c r="M371" s="42" t="s">
        <v>108</v>
      </c>
      <c r="N371" s="42">
        <v>2</v>
      </c>
      <c r="O371" s="42" t="s">
        <v>122</v>
      </c>
      <c r="P371" s="42">
        <v>1</v>
      </c>
      <c r="Q371" s="42" t="s">
        <v>326</v>
      </c>
      <c r="R371" s="42" t="s">
        <v>114</v>
      </c>
      <c r="U371" s="42" t="s">
        <v>121</v>
      </c>
      <c r="V371" s="42">
        <v>1</v>
      </c>
      <c r="W371" s="42" t="s">
        <v>116</v>
      </c>
      <c r="X371" s="42">
        <v>18</v>
      </c>
      <c r="Y371" s="42" t="s">
        <v>117</v>
      </c>
      <c r="Z371" s="42">
        <v>1661874.8133</v>
      </c>
      <c r="AA371" s="42">
        <v>2.4729999999999999</v>
      </c>
      <c r="AB371" s="42" t="s">
        <v>36</v>
      </c>
      <c r="AC371" s="42">
        <v>1</v>
      </c>
      <c r="AD371" s="42">
        <v>1</v>
      </c>
      <c r="AE371" s="42">
        <v>4109816.41</v>
      </c>
    </row>
    <row r="372" spans="1:31" x14ac:dyDescent="0.2">
      <c r="A372" s="42" t="s">
        <v>917</v>
      </c>
      <c r="B372" s="42">
        <v>1</v>
      </c>
      <c r="C372" s="42" t="s">
        <v>302</v>
      </c>
      <c r="D372" s="42">
        <v>204</v>
      </c>
      <c r="E372" s="42" t="s">
        <v>392</v>
      </c>
      <c r="F372" s="42" t="s">
        <v>466</v>
      </c>
      <c r="G372" s="42">
        <v>10034</v>
      </c>
      <c r="H372" s="42" t="s">
        <v>467</v>
      </c>
      <c r="I372" s="42">
        <v>2391291.8199999998</v>
      </c>
      <c r="J372" s="42">
        <v>2406503.6</v>
      </c>
      <c r="K372" s="42" t="b">
        <v>1</v>
      </c>
      <c r="L372" s="42">
        <v>5</v>
      </c>
      <c r="M372" s="42" t="s">
        <v>108</v>
      </c>
      <c r="N372" s="42">
        <v>2</v>
      </c>
      <c r="O372" s="42" t="s">
        <v>122</v>
      </c>
      <c r="P372" s="42">
        <v>184</v>
      </c>
      <c r="Q372" s="42" t="s">
        <v>241</v>
      </c>
      <c r="R372" s="42" t="s">
        <v>204</v>
      </c>
      <c r="S372" s="42">
        <v>1</v>
      </c>
      <c r="T372" s="42" t="s">
        <v>205</v>
      </c>
      <c r="U372" s="42" t="s">
        <v>121</v>
      </c>
      <c r="V372" s="42">
        <v>9</v>
      </c>
      <c r="W372" s="42" t="s">
        <v>206</v>
      </c>
      <c r="X372" s="42">
        <v>4</v>
      </c>
      <c r="Y372" s="42" t="s">
        <v>230</v>
      </c>
      <c r="Z372" s="42">
        <v>1521178</v>
      </c>
      <c r="AA372" s="42">
        <v>1.5820000000000001</v>
      </c>
      <c r="AB372" s="42" t="s">
        <v>36</v>
      </c>
      <c r="AC372" s="42">
        <v>1</v>
      </c>
      <c r="AD372" s="42">
        <v>1</v>
      </c>
      <c r="AE372" s="42">
        <v>2406503.6</v>
      </c>
    </row>
    <row r="373" spans="1:31" x14ac:dyDescent="0.2">
      <c r="A373" s="42" t="s">
        <v>917</v>
      </c>
      <c r="B373" s="42">
        <v>1</v>
      </c>
      <c r="C373" s="42" t="s">
        <v>302</v>
      </c>
      <c r="D373" s="42">
        <v>204</v>
      </c>
      <c r="E373" s="42" t="s">
        <v>392</v>
      </c>
      <c r="F373" s="42" t="s">
        <v>823</v>
      </c>
      <c r="G373" s="42">
        <v>10037</v>
      </c>
      <c r="H373" s="42" t="s">
        <v>824</v>
      </c>
      <c r="I373" s="42">
        <v>6965971.9500000002</v>
      </c>
      <c r="J373" s="42">
        <v>6965971.9500000002</v>
      </c>
      <c r="K373" s="42" t="b">
        <v>0</v>
      </c>
      <c r="L373" s="42">
        <v>5</v>
      </c>
      <c r="M373" s="42" t="s">
        <v>108</v>
      </c>
      <c r="N373" s="42">
        <v>6</v>
      </c>
      <c r="O373" s="42" t="s">
        <v>303</v>
      </c>
      <c r="P373" s="42">
        <v>21</v>
      </c>
      <c r="Q373" s="42" t="s">
        <v>329</v>
      </c>
      <c r="R373" s="42" t="s">
        <v>114</v>
      </c>
      <c r="U373" s="42" t="s">
        <v>121</v>
      </c>
      <c r="V373" s="42">
        <v>1</v>
      </c>
      <c r="W373" s="42" t="s">
        <v>116</v>
      </c>
      <c r="X373" s="42">
        <v>18</v>
      </c>
      <c r="Y373" s="42" t="s">
        <v>117</v>
      </c>
      <c r="Z373" s="42">
        <v>5944676.5259999996</v>
      </c>
      <c r="AA373" s="42">
        <v>1.1718</v>
      </c>
      <c r="AB373" s="42" t="s">
        <v>36</v>
      </c>
      <c r="AC373" s="42">
        <v>1</v>
      </c>
      <c r="AD373" s="42">
        <v>1</v>
      </c>
      <c r="AE373" s="42">
        <v>6965971.9500000002</v>
      </c>
    </row>
    <row r="374" spans="1:31" x14ac:dyDescent="0.2">
      <c r="A374" s="42" t="s">
        <v>917</v>
      </c>
      <c r="B374" s="42">
        <v>1</v>
      </c>
      <c r="C374" s="42" t="s">
        <v>302</v>
      </c>
      <c r="D374" s="42">
        <v>204</v>
      </c>
      <c r="E374" s="42" t="s">
        <v>392</v>
      </c>
      <c r="F374" s="42" t="s">
        <v>825</v>
      </c>
      <c r="G374" s="42">
        <v>10038</v>
      </c>
      <c r="H374" s="42" t="s">
        <v>826</v>
      </c>
      <c r="I374" s="42">
        <v>4500723.6399999997</v>
      </c>
      <c r="J374" s="42">
        <v>4500723.6399999997</v>
      </c>
      <c r="K374" s="42" t="b">
        <v>0</v>
      </c>
      <c r="L374" s="42">
        <v>4</v>
      </c>
      <c r="M374" s="42" t="s">
        <v>128</v>
      </c>
      <c r="N374" s="42">
        <v>1</v>
      </c>
      <c r="O374" s="42" t="s">
        <v>112</v>
      </c>
      <c r="P374" s="42">
        <v>37</v>
      </c>
      <c r="Q374" s="42" t="s">
        <v>321</v>
      </c>
      <c r="R374" s="42" t="s">
        <v>114</v>
      </c>
      <c r="U374" s="42" t="s">
        <v>121</v>
      </c>
      <c r="V374" s="42">
        <v>1</v>
      </c>
      <c r="W374" s="42" t="s">
        <v>116</v>
      </c>
      <c r="X374" s="42">
        <v>18</v>
      </c>
      <c r="Y374" s="42" t="s">
        <v>117</v>
      </c>
      <c r="Z374" s="42">
        <v>4664445.6812000005</v>
      </c>
      <c r="AA374" s="42">
        <v>0.96489999999999998</v>
      </c>
      <c r="AB374" s="42" t="s">
        <v>36</v>
      </c>
      <c r="AC374" s="42">
        <v>1</v>
      </c>
      <c r="AD374" s="42">
        <v>1</v>
      </c>
      <c r="AE374" s="42">
        <v>4500723.6399999997</v>
      </c>
    </row>
    <row r="375" spans="1:31" x14ac:dyDescent="0.2">
      <c r="A375" s="42" t="s">
        <v>917</v>
      </c>
      <c r="B375" s="42">
        <v>1</v>
      </c>
      <c r="C375" s="42" t="s">
        <v>302</v>
      </c>
      <c r="D375" s="42">
        <v>204</v>
      </c>
      <c r="E375" s="42" t="s">
        <v>392</v>
      </c>
      <c r="F375" s="42" t="s">
        <v>674</v>
      </c>
      <c r="G375" s="42">
        <v>10041</v>
      </c>
      <c r="H375" s="42" t="s">
        <v>675</v>
      </c>
      <c r="I375" s="42">
        <v>5499725.4699999997</v>
      </c>
      <c r="J375" s="42">
        <v>5499725.4699999997</v>
      </c>
      <c r="K375" s="42" t="b">
        <v>0</v>
      </c>
      <c r="L375" s="42">
        <v>3</v>
      </c>
      <c r="M375" s="42" t="s">
        <v>209</v>
      </c>
      <c r="N375" s="42">
        <v>2</v>
      </c>
      <c r="O375" s="42" t="s">
        <v>122</v>
      </c>
      <c r="P375" s="42">
        <v>69</v>
      </c>
      <c r="Q375" s="42" t="s">
        <v>234</v>
      </c>
      <c r="R375" s="42" t="s">
        <v>114</v>
      </c>
      <c r="U375" s="42" t="s">
        <v>121</v>
      </c>
      <c r="V375" s="42">
        <v>1</v>
      </c>
      <c r="W375" s="42" t="s">
        <v>116</v>
      </c>
      <c r="X375" s="42">
        <v>13</v>
      </c>
      <c r="Y375" s="42" t="s">
        <v>166</v>
      </c>
      <c r="Z375" s="42">
        <v>5402480.8200000003</v>
      </c>
      <c r="AA375" s="42">
        <v>1.018</v>
      </c>
      <c r="AB375" s="42" t="s">
        <v>36</v>
      </c>
      <c r="AC375" s="42">
        <v>1</v>
      </c>
      <c r="AD375" s="42">
        <v>1</v>
      </c>
      <c r="AE375" s="42">
        <v>5499725.4699999997</v>
      </c>
    </row>
    <row r="376" spans="1:31" x14ac:dyDescent="0.2">
      <c r="A376" s="42" t="s">
        <v>917</v>
      </c>
      <c r="B376" s="42">
        <v>1</v>
      </c>
      <c r="C376" s="42" t="s">
        <v>302</v>
      </c>
      <c r="D376" s="42">
        <v>204</v>
      </c>
      <c r="E376" s="42" t="s">
        <v>392</v>
      </c>
      <c r="F376" s="42" t="s">
        <v>827</v>
      </c>
      <c r="G376" s="42">
        <v>10048</v>
      </c>
      <c r="H376" s="42" t="s">
        <v>828</v>
      </c>
      <c r="I376" s="42">
        <v>6260765.4199999999</v>
      </c>
      <c r="J376" s="42">
        <v>6260765.4199999999</v>
      </c>
      <c r="K376" s="42" t="b">
        <v>0</v>
      </c>
      <c r="L376" s="42">
        <v>5</v>
      </c>
      <c r="M376" s="42" t="s">
        <v>108</v>
      </c>
      <c r="N376" s="42">
        <v>1</v>
      </c>
      <c r="O376" s="42" t="s">
        <v>112</v>
      </c>
      <c r="P376" s="42">
        <v>51</v>
      </c>
      <c r="Q376" s="42" t="s">
        <v>112</v>
      </c>
      <c r="R376" s="42" t="s">
        <v>114</v>
      </c>
      <c r="U376" s="42" t="s">
        <v>121</v>
      </c>
      <c r="V376" s="42">
        <v>1</v>
      </c>
      <c r="W376" s="42" t="s">
        <v>116</v>
      </c>
      <c r="X376" s="42">
        <v>18</v>
      </c>
      <c r="Y376" s="42" t="s">
        <v>117</v>
      </c>
      <c r="Z376" s="42">
        <v>6054898.8550000004</v>
      </c>
      <c r="AA376" s="42">
        <v>1.034</v>
      </c>
      <c r="AB376" s="42" t="s">
        <v>36</v>
      </c>
      <c r="AC376" s="42">
        <v>1</v>
      </c>
      <c r="AD376" s="42">
        <v>1</v>
      </c>
      <c r="AE376" s="42">
        <v>6260765.4199999999</v>
      </c>
    </row>
    <row r="377" spans="1:31" x14ac:dyDescent="0.2">
      <c r="A377" s="42" t="s">
        <v>917</v>
      </c>
      <c r="B377" s="42">
        <v>1</v>
      </c>
      <c r="C377" s="42" t="s">
        <v>302</v>
      </c>
      <c r="D377" s="42">
        <v>204</v>
      </c>
      <c r="E377" s="42" t="s">
        <v>392</v>
      </c>
      <c r="F377" s="42" t="s">
        <v>680</v>
      </c>
      <c r="G377" s="42">
        <v>10058</v>
      </c>
      <c r="H377" s="42" t="s">
        <v>681</v>
      </c>
      <c r="I377" s="42">
        <v>4101324.15</v>
      </c>
      <c r="J377" s="42">
        <v>4101324.15</v>
      </c>
      <c r="K377" s="42" t="b">
        <v>0</v>
      </c>
      <c r="L377" s="42">
        <v>4</v>
      </c>
      <c r="M377" s="42" t="s">
        <v>128</v>
      </c>
      <c r="N377" s="42">
        <v>29</v>
      </c>
      <c r="O377" s="42" t="s">
        <v>142</v>
      </c>
      <c r="P377" s="42">
        <v>14</v>
      </c>
      <c r="Q377" s="42" t="s">
        <v>323</v>
      </c>
      <c r="R377" s="42" t="s">
        <v>114</v>
      </c>
      <c r="U377" s="42" t="s">
        <v>121</v>
      </c>
      <c r="V377" s="42">
        <v>1</v>
      </c>
      <c r="W377" s="42" t="s">
        <v>116</v>
      </c>
      <c r="X377" s="42">
        <v>18</v>
      </c>
      <c r="Y377" s="42" t="s">
        <v>117</v>
      </c>
      <c r="Z377" s="42">
        <v>4393020.7280000001</v>
      </c>
      <c r="AA377" s="42">
        <v>0.93359999999999999</v>
      </c>
      <c r="AB377" s="42" t="s">
        <v>36</v>
      </c>
      <c r="AC377" s="42">
        <v>1</v>
      </c>
      <c r="AD377" s="42">
        <v>1</v>
      </c>
      <c r="AE377" s="42">
        <v>4101324.15</v>
      </c>
    </row>
    <row r="378" spans="1:31" x14ac:dyDescent="0.2">
      <c r="A378" s="42" t="s">
        <v>917</v>
      </c>
      <c r="B378" s="42">
        <v>1</v>
      </c>
      <c r="C378" s="42" t="s">
        <v>302</v>
      </c>
      <c r="D378" s="42">
        <v>204</v>
      </c>
      <c r="E378" s="42" t="s">
        <v>392</v>
      </c>
      <c r="F378" s="42" t="s">
        <v>713</v>
      </c>
      <c r="G378" s="42">
        <v>10064</v>
      </c>
      <c r="H378" s="42" t="s">
        <v>714</v>
      </c>
      <c r="I378" s="42">
        <v>5910133.9800000004</v>
      </c>
      <c r="J378" s="42">
        <v>5910133.9800000004</v>
      </c>
      <c r="K378" s="42" t="b">
        <v>0</v>
      </c>
      <c r="L378" s="42">
        <v>4</v>
      </c>
      <c r="M378" s="42" t="s">
        <v>128</v>
      </c>
      <c r="N378" s="42">
        <v>1</v>
      </c>
      <c r="O378" s="42" t="s">
        <v>112</v>
      </c>
      <c r="P378" s="42">
        <v>16</v>
      </c>
      <c r="Q378" s="42" t="s">
        <v>335</v>
      </c>
      <c r="R378" s="42" t="s">
        <v>114</v>
      </c>
      <c r="U378" s="42" t="s">
        <v>115</v>
      </c>
      <c r="V378" s="42">
        <v>1</v>
      </c>
      <c r="W378" s="42" t="s">
        <v>116</v>
      </c>
      <c r="X378" s="42">
        <v>18</v>
      </c>
      <c r="Y378" s="42" t="s">
        <v>117</v>
      </c>
      <c r="Z378" s="42">
        <v>677798.75</v>
      </c>
      <c r="AA378" s="42">
        <v>8.7195999999999998</v>
      </c>
      <c r="AB378" s="42" t="s">
        <v>36</v>
      </c>
      <c r="AC378" s="42">
        <v>1</v>
      </c>
      <c r="AD378" s="42">
        <v>1</v>
      </c>
      <c r="AE378" s="42">
        <v>5910133.9800000004</v>
      </c>
    </row>
    <row r="379" spans="1:31" x14ac:dyDescent="0.2">
      <c r="A379" s="42" t="s">
        <v>917</v>
      </c>
      <c r="B379" s="42">
        <v>1</v>
      </c>
      <c r="C379" s="42" t="s">
        <v>302</v>
      </c>
      <c r="D379" s="42">
        <v>204</v>
      </c>
      <c r="E379" s="42" t="s">
        <v>392</v>
      </c>
      <c r="F379" s="42" t="s">
        <v>829</v>
      </c>
      <c r="G379" s="42">
        <v>10116</v>
      </c>
      <c r="H379" s="42" t="s">
        <v>830</v>
      </c>
      <c r="I379" s="42">
        <v>3993666.88</v>
      </c>
      <c r="J379" s="42">
        <v>3993666.88</v>
      </c>
      <c r="K379" s="42" t="b">
        <v>0</v>
      </c>
      <c r="L379" s="42">
        <v>11</v>
      </c>
      <c r="M379" s="42" t="s">
        <v>238</v>
      </c>
      <c r="N379" s="42">
        <v>1</v>
      </c>
      <c r="O379" s="42" t="s">
        <v>112</v>
      </c>
      <c r="P379" s="42">
        <v>168</v>
      </c>
      <c r="Q379" s="42" t="s">
        <v>831</v>
      </c>
      <c r="R379" s="42" t="s">
        <v>114</v>
      </c>
      <c r="U379" s="42" t="s">
        <v>212</v>
      </c>
      <c r="V379" s="42">
        <v>1</v>
      </c>
      <c r="W379" s="42" t="s">
        <v>116</v>
      </c>
      <c r="X379" s="42">
        <v>18</v>
      </c>
      <c r="Y379" s="42" t="s">
        <v>117</v>
      </c>
      <c r="Z379" s="42">
        <v>36777.483</v>
      </c>
      <c r="AA379" s="42">
        <v>108.59</v>
      </c>
      <c r="AB379" s="42" t="s">
        <v>36</v>
      </c>
      <c r="AC379" s="42">
        <v>1</v>
      </c>
      <c r="AD379" s="42">
        <v>1</v>
      </c>
      <c r="AE379" s="42">
        <v>3993666.88</v>
      </c>
    </row>
    <row r="380" spans="1:31" x14ac:dyDescent="0.2">
      <c r="A380" s="42" t="s">
        <v>917</v>
      </c>
      <c r="B380" s="42">
        <v>1</v>
      </c>
      <c r="C380" s="42" t="s">
        <v>302</v>
      </c>
      <c r="D380" s="42">
        <v>204</v>
      </c>
      <c r="E380" s="42" t="s">
        <v>392</v>
      </c>
      <c r="F380" s="42" t="s">
        <v>811</v>
      </c>
      <c r="G380" s="42">
        <v>10265</v>
      </c>
      <c r="H380" s="42" t="s">
        <v>812</v>
      </c>
      <c r="I380" s="42">
        <v>2518731.5499999998</v>
      </c>
      <c r="J380" s="42">
        <v>2518731.5499999998</v>
      </c>
      <c r="K380" s="42" t="b">
        <v>0</v>
      </c>
      <c r="L380" s="42">
        <v>2</v>
      </c>
      <c r="M380" s="42" t="s">
        <v>248</v>
      </c>
      <c r="N380" s="42">
        <v>1</v>
      </c>
      <c r="O380" s="42" t="s">
        <v>112</v>
      </c>
      <c r="P380" s="42">
        <v>63</v>
      </c>
      <c r="Q380" s="42" t="s">
        <v>324</v>
      </c>
      <c r="R380" s="42" t="s">
        <v>114</v>
      </c>
      <c r="U380" s="42" t="s">
        <v>212</v>
      </c>
      <c r="V380" s="42">
        <v>1</v>
      </c>
      <c r="W380" s="42" t="s">
        <v>116</v>
      </c>
      <c r="X380" s="42">
        <v>18</v>
      </c>
      <c r="Y380" s="42" t="s">
        <v>117</v>
      </c>
      <c r="Z380" s="42">
        <v>23128.848000000002</v>
      </c>
      <c r="AA380" s="42">
        <v>108.9</v>
      </c>
      <c r="AB380" s="42" t="s">
        <v>36</v>
      </c>
      <c r="AC380" s="42">
        <v>1</v>
      </c>
      <c r="AD380" s="42">
        <v>1</v>
      </c>
      <c r="AE380" s="42">
        <v>2518731.5499999998</v>
      </c>
    </row>
    <row r="381" spans="1:31" x14ac:dyDescent="0.2">
      <c r="A381" s="42" t="s">
        <v>917</v>
      </c>
      <c r="B381" s="42">
        <v>1</v>
      </c>
      <c r="C381" s="42" t="s">
        <v>302</v>
      </c>
      <c r="D381" s="42">
        <v>204</v>
      </c>
      <c r="E381" s="42" t="s">
        <v>392</v>
      </c>
      <c r="F381" s="42" t="s">
        <v>793</v>
      </c>
      <c r="G381" s="42">
        <v>10270</v>
      </c>
      <c r="H381" s="42" t="s">
        <v>794</v>
      </c>
      <c r="I381" s="42">
        <v>4232472.99</v>
      </c>
      <c r="J381" s="42">
        <v>4254301.71</v>
      </c>
      <c r="K381" s="42" t="b">
        <v>0</v>
      </c>
      <c r="L381" s="42">
        <v>3</v>
      </c>
      <c r="M381" s="42" t="s">
        <v>209</v>
      </c>
      <c r="N381" s="42">
        <v>2</v>
      </c>
      <c r="O381" s="42" t="s">
        <v>122</v>
      </c>
      <c r="P381" s="42">
        <v>69</v>
      </c>
      <c r="Q381" s="42" t="s">
        <v>234</v>
      </c>
      <c r="R381" s="42" t="s">
        <v>114</v>
      </c>
      <c r="U381" s="42" t="s">
        <v>121</v>
      </c>
      <c r="V381" s="42">
        <v>1</v>
      </c>
      <c r="W381" s="42" t="s">
        <v>116</v>
      </c>
      <c r="X381" s="42">
        <v>13</v>
      </c>
      <c r="Y381" s="42" t="s">
        <v>166</v>
      </c>
      <c r="Z381" s="42">
        <v>7659198.324</v>
      </c>
      <c r="AA381" s="42">
        <v>0.55545</v>
      </c>
      <c r="AB381" s="42" t="s">
        <v>36</v>
      </c>
      <c r="AC381" s="42">
        <v>1</v>
      </c>
      <c r="AD381" s="42">
        <v>1</v>
      </c>
      <c r="AE381" s="42">
        <v>4254301.71</v>
      </c>
    </row>
    <row r="382" spans="1:31" x14ac:dyDescent="0.2">
      <c r="A382" s="42" t="s">
        <v>917</v>
      </c>
      <c r="B382" s="42">
        <v>1</v>
      </c>
      <c r="C382" s="42" t="s">
        <v>302</v>
      </c>
      <c r="D382" s="42">
        <v>204</v>
      </c>
      <c r="E382" s="42" t="s">
        <v>392</v>
      </c>
      <c r="F382" s="42" t="s">
        <v>832</v>
      </c>
      <c r="G382" s="42">
        <v>11086</v>
      </c>
      <c r="H382" s="42" t="s">
        <v>833</v>
      </c>
      <c r="I382" s="42">
        <v>5387017.1299999999</v>
      </c>
      <c r="J382" s="42">
        <v>5387017.1299999999</v>
      </c>
      <c r="K382" s="42" t="b">
        <v>0</v>
      </c>
      <c r="L382" s="42">
        <v>5</v>
      </c>
      <c r="M382" s="42" t="s">
        <v>108</v>
      </c>
      <c r="N382" s="42">
        <v>29</v>
      </c>
      <c r="O382" s="42" t="s">
        <v>142</v>
      </c>
      <c r="P382" s="42">
        <v>210</v>
      </c>
      <c r="Q382" s="42" t="s">
        <v>834</v>
      </c>
      <c r="R382" s="42" t="s">
        <v>114</v>
      </c>
      <c r="U382" s="42" t="s">
        <v>212</v>
      </c>
      <c r="V382" s="42">
        <v>1</v>
      </c>
      <c r="W382" s="42" t="s">
        <v>116</v>
      </c>
      <c r="X382" s="42">
        <v>18</v>
      </c>
      <c r="Y382" s="42" t="s">
        <v>117</v>
      </c>
      <c r="Z382" s="42">
        <v>54206.25</v>
      </c>
      <c r="AA382" s="42">
        <v>99.38</v>
      </c>
      <c r="AB382" s="42" t="s">
        <v>36</v>
      </c>
      <c r="AC382" s="42">
        <v>1</v>
      </c>
      <c r="AD382" s="42">
        <v>1</v>
      </c>
      <c r="AE382" s="42">
        <v>5387017.1299999999</v>
      </c>
    </row>
    <row r="383" spans="1:31" x14ac:dyDescent="0.2">
      <c r="A383" s="42" t="s">
        <v>917</v>
      </c>
      <c r="B383" s="42">
        <v>1</v>
      </c>
      <c r="C383" s="42" t="s">
        <v>302</v>
      </c>
      <c r="D383" s="42">
        <v>204</v>
      </c>
      <c r="E383" s="42" t="s">
        <v>392</v>
      </c>
      <c r="F383" s="42" t="s">
        <v>762</v>
      </c>
      <c r="G383" s="42">
        <v>11874</v>
      </c>
      <c r="H383" s="42" t="s">
        <v>763</v>
      </c>
      <c r="I383" s="42">
        <v>1547799.25</v>
      </c>
      <c r="J383" s="42">
        <v>1547799.25</v>
      </c>
      <c r="K383" s="42" t="b">
        <v>0</v>
      </c>
      <c r="L383" s="42">
        <v>5</v>
      </c>
      <c r="M383" s="42" t="s">
        <v>108</v>
      </c>
      <c r="N383" s="42">
        <v>1</v>
      </c>
      <c r="O383" s="42" t="s">
        <v>112</v>
      </c>
      <c r="P383" s="42">
        <v>55</v>
      </c>
      <c r="Q383" s="42" t="s">
        <v>143</v>
      </c>
      <c r="R383" s="42" t="s">
        <v>114</v>
      </c>
      <c r="U383" s="42" t="s">
        <v>115</v>
      </c>
      <c r="V383" s="42">
        <v>1</v>
      </c>
      <c r="W383" s="42" t="s">
        <v>116</v>
      </c>
      <c r="X383" s="42">
        <v>18</v>
      </c>
      <c r="Y383" s="42" t="s">
        <v>117</v>
      </c>
      <c r="Z383" s="42">
        <v>134192.16320000001</v>
      </c>
      <c r="AA383" s="42">
        <v>11.5342</v>
      </c>
      <c r="AB383" s="42" t="s">
        <v>36</v>
      </c>
      <c r="AC383" s="42">
        <v>1</v>
      </c>
      <c r="AD383" s="42">
        <v>1</v>
      </c>
      <c r="AE383" s="42">
        <v>1547799.25</v>
      </c>
    </row>
    <row r="384" spans="1:31" x14ac:dyDescent="0.2">
      <c r="A384" s="42" t="s">
        <v>917</v>
      </c>
      <c r="B384" s="42">
        <v>1</v>
      </c>
      <c r="C384" s="42" t="s">
        <v>302</v>
      </c>
      <c r="D384" s="42">
        <v>204</v>
      </c>
      <c r="E384" s="42" t="s">
        <v>392</v>
      </c>
      <c r="F384" s="42" t="s">
        <v>835</v>
      </c>
      <c r="G384" s="42">
        <v>12038</v>
      </c>
      <c r="H384" s="42" t="s">
        <v>836</v>
      </c>
      <c r="I384" s="42">
        <v>787525.08</v>
      </c>
      <c r="J384" s="42">
        <v>787525.08</v>
      </c>
      <c r="K384" s="42" t="b">
        <v>0</v>
      </c>
      <c r="L384" s="42">
        <v>4</v>
      </c>
      <c r="M384" s="42" t="s">
        <v>128</v>
      </c>
      <c r="N384" s="42">
        <v>3</v>
      </c>
      <c r="O384" s="42" t="s">
        <v>154</v>
      </c>
      <c r="P384" s="42">
        <v>38</v>
      </c>
      <c r="Q384" s="42" t="s">
        <v>378</v>
      </c>
      <c r="R384" s="42" t="s">
        <v>114</v>
      </c>
      <c r="U384" s="42" t="s">
        <v>212</v>
      </c>
      <c r="V384" s="42">
        <v>1</v>
      </c>
      <c r="W384" s="42" t="s">
        <v>116</v>
      </c>
      <c r="X384" s="42">
        <v>18</v>
      </c>
      <c r="Y384" s="42" t="s">
        <v>117</v>
      </c>
      <c r="Z384" s="42">
        <v>8048.2889999999998</v>
      </c>
      <c r="AA384" s="42">
        <v>97.85</v>
      </c>
      <c r="AB384" s="42" t="s">
        <v>36</v>
      </c>
      <c r="AC384" s="42">
        <v>1</v>
      </c>
      <c r="AD384" s="42">
        <v>1</v>
      </c>
      <c r="AE384" s="42">
        <v>787525.08</v>
      </c>
    </row>
    <row r="385" spans="1:31" x14ac:dyDescent="0.2">
      <c r="A385" s="42" t="s">
        <v>917</v>
      </c>
      <c r="B385" s="42">
        <v>1</v>
      </c>
      <c r="C385" s="42" t="s">
        <v>302</v>
      </c>
      <c r="D385" s="42">
        <v>204</v>
      </c>
      <c r="E385" s="42" t="s">
        <v>392</v>
      </c>
      <c r="F385" s="42" t="s">
        <v>837</v>
      </c>
      <c r="G385" s="42">
        <v>12060</v>
      </c>
      <c r="H385" s="42" t="s">
        <v>838</v>
      </c>
      <c r="I385" s="42">
        <v>4125133.88</v>
      </c>
      <c r="J385" s="42">
        <v>4125133.88</v>
      </c>
      <c r="K385" s="42" t="b">
        <v>0</v>
      </c>
      <c r="L385" s="42">
        <v>4</v>
      </c>
      <c r="M385" s="42" t="s">
        <v>128</v>
      </c>
      <c r="N385" s="42">
        <v>2</v>
      </c>
      <c r="O385" s="42" t="s">
        <v>122</v>
      </c>
      <c r="P385" s="42">
        <v>64</v>
      </c>
      <c r="Q385" s="42" t="s">
        <v>839</v>
      </c>
      <c r="R385" s="42" t="s">
        <v>114</v>
      </c>
      <c r="U385" s="42" t="s">
        <v>121</v>
      </c>
      <c r="V385" s="42">
        <v>1</v>
      </c>
      <c r="W385" s="42" t="s">
        <v>116</v>
      </c>
      <c r="X385" s="42">
        <v>18</v>
      </c>
      <c r="Y385" s="42" t="s">
        <v>117</v>
      </c>
      <c r="Z385" s="42">
        <v>4310034.3590000002</v>
      </c>
      <c r="AA385" s="42">
        <v>0.95709999999999995</v>
      </c>
      <c r="AB385" s="42" t="s">
        <v>36</v>
      </c>
      <c r="AC385" s="42">
        <v>1</v>
      </c>
      <c r="AD385" s="42">
        <v>1</v>
      </c>
      <c r="AE385" s="42">
        <v>4125133.88</v>
      </c>
    </row>
    <row r="386" spans="1:31" x14ac:dyDescent="0.2">
      <c r="A386" s="42" t="s">
        <v>917</v>
      </c>
      <c r="B386" s="42">
        <v>1</v>
      </c>
      <c r="C386" s="42" t="s">
        <v>365</v>
      </c>
      <c r="D386" s="42">
        <v>212</v>
      </c>
      <c r="E386" s="42" t="s">
        <v>372</v>
      </c>
      <c r="F386" s="42" t="s">
        <v>639</v>
      </c>
      <c r="G386" s="42">
        <v>2627</v>
      </c>
      <c r="H386" s="42" t="s">
        <v>640</v>
      </c>
      <c r="I386" s="42">
        <v>12895455.210000001</v>
      </c>
      <c r="J386" s="42">
        <v>12907101.699999999</v>
      </c>
      <c r="K386" s="42" t="b">
        <v>0</v>
      </c>
      <c r="L386" s="42">
        <v>5</v>
      </c>
      <c r="M386" s="42" t="s">
        <v>108</v>
      </c>
      <c r="N386" s="42">
        <v>29</v>
      </c>
      <c r="O386" s="42" t="s">
        <v>142</v>
      </c>
      <c r="P386" s="42">
        <v>3</v>
      </c>
      <c r="Q386" s="42" t="s">
        <v>325</v>
      </c>
      <c r="R386" s="42" t="s">
        <v>114</v>
      </c>
      <c r="U386" s="42" t="s">
        <v>121</v>
      </c>
      <c r="V386" s="42">
        <v>1</v>
      </c>
      <c r="W386" s="42" t="s">
        <v>116</v>
      </c>
      <c r="X386" s="42">
        <v>18</v>
      </c>
      <c r="Y386" s="42" t="s">
        <v>117</v>
      </c>
      <c r="Z386" s="42">
        <v>4658594.42</v>
      </c>
      <c r="AA386" s="42">
        <v>2.7706</v>
      </c>
      <c r="AB386" s="42" t="s">
        <v>36</v>
      </c>
      <c r="AC386" s="42">
        <v>1</v>
      </c>
      <c r="AD386" s="42">
        <v>1</v>
      </c>
      <c r="AE386" s="42">
        <v>12907101.699999999</v>
      </c>
    </row>
    <row r="387" spans="1:31" x14ac:dyDescent="0.2">
      <c r="A387" s="42" t="s">
        <v>917</v>
      </c>
      <c r="B387" s="42">
        <v>1</v>
      </c>
      <c r="C387" s="42" t="s">
        <v>365</v>
      </c>
      <c r="D387" s="42">
        <v>212</v>
      </c>
      <c r="E387" s="42" t="s">
        <v>372</v>
      </c>
      <c r="F387" s="42" t="s">
        <v>840</v>
      </c>
      <c r="G387" s="42">
        <v>2680</v>
      </c>
      <c r="H387" s="42" t="s">
        <v>841</v>
      </c>
      <c r="I387" s="42">
        <v>10994399.5</v>
      </c>
      <c r="J387" s="42">
        <v>10994399.5</v>
      </c>
      <c r="K387" s="42" t="b">
        <v>0</v>
      </c>
      <c r="L387" s="42">
        <v>5</v>
      </c>
      <c r="M387" s="42" t="s">
        <v>108</v>
      </c>
      <c r="N387" s="42">
        <v>28</v>
      </c>
      <c r="O387" s="42" t="s">
        <v>120</v>
      </c>
      <c r="P387" s="42">
        <v>9</v>
      </c>
      <c r="Q387" s="42" t="s">
        <v>320</v>
      </c>
      <c r="R387" s="42" t="s">
        <v>114</v>
      </c>
      <c r="U387" s="42" t="s">
        <v>121</v>
      </c>
      <c r="V387" s="42">
        <v>1</v>
      </c>
      <c r="W387" s="42" t="s">
        <v>116</v>
      </c>
      <c r="X387" s="42">
        <v>18</v>
      </c>
      <c r="Y387" s="42" t="s">
        <v>117</v>
      </c>
      <c r="Z387" s="42">
        <v>2924975.923</v>
      </c>
      <c r="AA387" s="42">
        <v>3.7587999999999999</v>
      </c>
      <c r="AB387" s="42" t="s">
        <v>36</v>
      </c>
      <c r="AC387" s="42">
        <v>1</v>
      </c>
      <c r="AD387" s="42">
        <v>1</v>
      </c>
      <c r="AE387" s="42">
        <v>10994399.5</v>
      </c>
    </row>
    <row r="388" spans="1:31" x14ac:dyDescent="0.2">
      <c r="A388" s="42" t="s">
        <v>917</v>
      </c>
      <c r="B388" s="42">
        <v>1</v>
      </c>
      <c r="C388" s="42" t="s">
        <v>365</v>
      </c>
      <c r="D388" s="42">
        <v>212</v>
      </c>
      <c r="E388" s="42" t="s">
        <v>372</v>
      </c>
      <c r="F388" s="42" t="s">
        <v>132</v>
      </c>
      <c r="G388" s="42">
        <v>2856</v>
      </c>
      <c r="H388" s="42" t="s">
        <v>133</v>
      </c>
      <c r="I388" s="42">
        <v>34650178.909999996</v>
      </c>
      <c r="J388" s="42">
        <v>34650178.909999996</v>
      </c>
      <c r="K388" s="42" t="b">
        <v>0</v>
      </c>
      <c r="L388" s="42">
        <v>5</v>
      </c>
      <c r="M388" s="42" t="s">
        <v>108</v>
      </c>
      <c r="N388" s="42">
        <v>4</v>
      </c>
      <c r="O388" s="42" t="s">
        <v>109</v>
      </c>
      <c r="P388" s="42">
        <v>6</v>
      </c>
      <c r="Q388" s="42" t="s">
        <v>109</v>
      </c>
      <c r="R388" s="42" t="s">
        <v>114</v>
      </c>
      <c r="U388" s="42" t="s">
        <v>121</v>
      </c>
      <c r="V388" s="42">
        <v>1</v>
      </c>
      <c r="W388" s="42" t="s">
        <v>116</v>
      </c>
      <c r="X388" s="42">
        <v>18</v>
      </c>
      <c r="Y388" s="42" t="s">
        <v>117</v>
      </c>
      <c r="Z388" s="42">
        <v>10020004.890000001</v>
      </c>
      <c r="AA388" s="42">
        <v>3.4581</v>
      </c>
      <c r="AB388" s="42" t="s">
        <v>36</v>
      </c>
      <c r="AC388" s="42">
        <v>1</v>
      </c>
      <c r="AD388" s="42">
        <v>1</v>
      </c>
      <c r="AE388" s="42">
        <v>34650178.909999996</v>
      </c>
    </row>
    <row r="389" spans="1:31" x14ac:dyDescent="0.2">
      <c r="A389" s="42" t="s">
        <v>917</v>
      </c>
      <c r="B389" s="42">
        <v>1</v>
      </c>
      <c r="C389" s="42" t="s">
        <v>365</v>
      </c>
      <c r="D389" s="42">
        <v>212</v>
      </c>
      <c r="E389" s="42" t="s">
        <v>372</v>
      </c>
      <c r="F389" s="42" t="s">
        <v>207</v>
      </c>
      <c r="G389" s="42">
        <v>2898</v>
      </c>
      <c r="H389" s="42" t="s">
        <v>208</v>
      </c>
      <c r="I389" s="42">
        <v>15885470.15</v>
      </c>
      <c r="J389" s="42">
        <v>15885470.15</v>
      </c>
      <c r="K389" s="42" t="b">
        <v>0</v>
      </c>
      <c r="L389" s="42">
        <v>14</v>
      </c>
      <c r="M389" s="42" t="s">
        <v>331</v>
      </c>
      <c r="N389" s="42">
        <v>1</v>
      </c>
      <c r="O389" s="42" t="s">
        <v>112</v>
      </c>
      <c r="P389" s="42">
        <v>22</v>
      </c>
      <c r="Q389" s="42" t="s">
        <v>209</v>
      </c>
      <c r="R389" s="42" t="s">
        <v>114</v>
      </c>
      <c r="U389" s="42" t="s">
        <v>121</v>
      </c>
      <c r="V389" s="42">
        <v>1</v>
      </c>
      <c r="W389" s="42" t="s">
        <v>116</v>
      </c>
      <c r="X389" s="42">
        <v>18</v>
      </c>
      <c r="Y389" s="42" t="s">
        <v>117</v>
      </c>
      <c r="Z389" s="42">
        <v>22491108.806000002</v>
      </c>
      <c r="AA389" s="42">
        <v>0.70630000000000004</v>
      </c>
      <c r="AB389" s="42" t="s">
        <v>36</v>
      </c>
      <c r="AC389" s="42">
        <v>1</v>
      </c>
      <c r="AD389" s="42">
        <v>1</v>
      </c>
      <c r="AE389" s="42">
        <v>15885470.15</v>
      </c>
    </row>
    <row r="390" spans="1:31" x14ac:dyDescent="0.2">
      <c r="A390" s="42" t="s">
        <v>917</v>
      </c>
      <c r="B390" s="42">
        <v>1</v>
      </c>
      <c r="C390" s="42" t="s">
        <v>365</v>
      </c>
      <c r="D390" s="42">
        <v>212</v>
      </c>
      <c r="E390" s="42" t="s">
        <v>372</v>
      </c>
      <c r="F390" s="42" t="s">
        <v>842</v>
      </c>
      <c r="G390" s="42">
        <v>2941</v>
      </c>
      <c r="H390" s="42" t="s">
        <v>843</v>
      </c>
      <c r="I390" s="42">
        <v>13631725.619999999</v>
      </c>
      <c r="J390" s="42">
        <v>13631725.619999999</v>
      </c>
      <c r="K390" s="42" t="b">
        <v>0</v>
      </c>
      <c r="L390" s="42">
        <v>5</v>
      </c>
      <c r="M390" s="42" t="s">
        <v>108</v>
      </c>
      <c r="N390" s="42">
        <v>5</v>
      </c>
      <c r="O390" s="42" t="s">
        <v>143</v>
      </c>
      <c r="P390" s="42">
        <v>55</v>
      </c>
      <c r="Q390" s="42" t="s">
        <v>143</v>
      </c>
      <c r="R390" s="42" t="s">
        <v>114</v>
      </c>
      <c r="U390" s="42" t="s">
        <v>115</v>
      </c>
      <c r="V390" s="42">
        <v>1</v>
      </c>
      <c r="W390" s="42" t="s">
        <v>116</v>
      </c>
      <c r="X390" s="42">
        <v>18</v>
      </c>
      <c r="Y390" s="42" t="s">
        <v>117</v>
      </c>
      <c r="Z390" s="42">
        <v>6690417.4815999996</v>
      </c>
      <c r="AA390" s="42">
        <v>2.0375000000000001</v>
      </c>
      <c r="AB390" s="42" t="s">
        <v>36</v>
      </c>
      <c r="AC390" s="42">
        <v>1</v>
      </c>
      <c r="AD390" s="42">
        <v>1</v>
      </c>
      <c r="AE390" s="42">
        <v>13631725.619999999</v>
      </c>
    </row>
    <row r="391" spans="1:31" x14ac:dyDescent="0.2">
      <c r="A391" s="42" t="s">
        <v>917</v>
      </c>
      <c r="B391" s="42">
        <v>1</v>
      </c>
      <c r="C391" s="42" t="s">
        <v>365</v>
      </c>
      <c r="D391" s="42">
        <v>212</v>
      </c>
      <c r="E391" s="42" t="s">
        <v>372</v>
      </c>
      <c r="F391" s="42" t="s">
        <v>533</v>
      </c>
      <c r="G391" s="42">
        <v>3991</v>
      </c>
      <c r="H391" s="42" t="s">
        <v>534</v>
      </c>
      <c r="I391" s="42">
        <v>11083143.890000001</v>
      </c>
      <c r="J391" s="42">
        <v>11083143.890000001</v>
      </c>
      <c r="K391" s="42" t="b">
        <v>0</v>
      </c>
      <c r="L391" s="42">
        <v>5</v>
      </c>
      <c r="M391" s="42" t="s">
        <v>108</v>
      </c>
      <c r="N391" s="42">
        <v>28</v>
      </c>
      <c r="O391" s="42" t="s">
        <v>120</v>
      </c>
      <c r="P391" s="42">
        <v>9</v>
      </c>
      <c r="Q391" s="42" t="s">
        <v>320</v>
      </c>
      <c r="R391" s="42" t="s">
        <v>114</v>
      </c>
      <c r="U391" s="42" t="s">
        <v>121</v>
      </c>
      <c r="V391" s="42">
        <v>1</v>
      </c>
      <c r="W391" s="42" t="s">
        <v>116</v>
      </c>
      <c r="X391" s="42">
        <v>18</v>
      </c>
      <c r="Y391" s="42" t="s">
        <v>117</v>
      </c>
      <c r="Z391" s="42">
        <v>4879647.7319999998</v>
      </c>
      <c r="AA391" s="42">
        <v>2.2713000000000001</v>
      </c>
      <c r="AB391" s="42" t="s">
        <v>36</v>
      </c>
      <c r="AC391" s="42">
        <v>1</v>
      </c>
      <c r="AD391" s="42">
        <v>1</v>
      </c>
      <c r="AE391" s="42">
        <v>11083143.890000001</v>
      </c>
    </row>
    <row r="392" spans="1:31" x14ac:dyDescent="0.2">
      <c r="A392" s="42" t="s">
        <v>917</v>
      </c>
      <c r="B392" s="42">
        <v>1</v>
      </c>
      <c r="C392" s="42" t="s">
        <v>365</v>
      </c>
      <c r="D392" s="42">
        <v>212</v>
      </c>
      <c r="E392" s="42" t="s">
        <v>372</v>
      </c>
      <c r="F392" s="42" t="s">
        <v>160</v>
      </c>
      <c r="G392" s="42">
        <v>4100</v>
      </c>
      <c r="H392" s="42" t="s">
        <v>161</v>
      </c>
      <c r="I392" s="42">
        <v>12381340.869999999</v>
      </c>
      <c r="J392" s="42">
        <v>12381340.869999999</v>
      </c>
      <c r="K392" s="42" t="b">
        <v>0</v>
      </c>
      <c r="L392" s="42">
        <v>5</v>
      </c>
      <c r="M392" s="42" t="s">
        <v>108</v>
      </c>
      <c r="N392" s="42">
        <v>2</v>
      </c>
      <c r="O392" s="42" t="s">
        <v>122</v>
      </c>
      <c r="P392" s="42">
        <v>2</v>
      </c>
      <c r="Q392" s="42" t="s">
        <v>322</v>
      </c>
      <c r="R392" s="42" t="s">
        <v>114</v>
      </c>
      <c r="U392" s="42" t="s">
        <v>121</v>
      </c>
      <c r="V392" s="42">
        <v>1</v>
      </c>
      <c r="W392" s="42" t="s">
        <v>116</v>
      </c>
      <c r="X392" s="42">
        <v>18</v>
      </c>
      <c r="Y392" s="42" t="s">
        <v>117</v>
      </c>
      <c r="Z392" s="42">
        <v>4804556.0219999999</v>
      </c>
      <c r="AA392" s="42">
        <v>2.577</v>
      </c>
      <c r="AB392" s="42" t="s">
        <v>36</v>
      </c>
      <c r="AC392" s="42">
        <v>1</v>
      </c>
      <c r="AD392" s="42">
        <v>1</v>
      </c>
      <c r="AE392" s="42">
        <v>12381340.869999999</v>
      </c>
    </row>
    <row r="393" spans="1:31" x14ac:dyDescent="0.2">
      <c r="A393" s="42" t="s">
        <v>917</v>
      </c>
      <c r="B393" s="42">
        <v>1</v>
      </c>
      <c r="C393" s="42" t="s">
        <v>365</v>
      </c>
      <c r="D393" s="42">
        <v>212</v>
      </c>
      <c r="E393" s="42" t="s">
        <v>372</v>
      </c>
      <c r="F393" s="42" t="s">
        <v>535</v>
      </c>
      <c r="G393" s="42">
        <v>4658</v>
      </c>
      <c r="H393" s="42" t="s">
        <v>536</v>
      </c>
      <c r="I393" s="42">
        <v>12573574.199999999</v>
      </c>
      <c r="J393" s="42">
        <v>12573574.199999999</v>
      </c>
      <c r="K393" s="42" t="b">
        <v>0</v>
      </c>
      <c r="L393" s="42">
        <v>5</v>
      </c>
      <c r="M393" s="42" t="s">
        <v>108</v>
      </c>
      <c r="N393" s="42">
        <v>2</v>
      </c>
      <c r="O393" s="42" t="s">
        <v>122</v>
      </c>
      <c r="P393" s="42">
        <v>1</v>
      </c>
      <c r="Q393" s="42" t="s">
        <v>326</v>
      </c>
      <c r="R393" s="42" t="s">
        <v>114</v>
      </c>
      <c r="U393" s="42" t="s">
        <v>115</v>
      </c>
      <c r="V393" s="42">
        <v>1</v>
      </c>
      <c r="W393" s="42" t="s">
        <v>116</v>
      </c>
      <c r="X393" s="42">
        <v>18</v>
      </c>
      <c r="Y393" s="42" t="s">
        <v>117</v>
      </c>
      <c r="Z393" s="42">
        <v>988488.53799999994</v>
      </c>
      <c r="AA393" s="42">
        <v>12.72</v>
      </c>
      <c r="AB393" s="42" t="s">
        <v>36</v>
      </c>
      <c r="AC393" s="42">
        <v>1</v>
      </c>
      <c r="AD393" s="42">
        <v>1</v>
      </c>
      <c r="AE393" s="42">
        <v>12573574.199999999</v>
      </c>
    </row>
    <row r="394" spans="1:31" x14ac:dyDescent="0.2">
      <c r="A394" s="42" t="s">
        <v>917</v>
      </c>
      <c r="B394" s="42">
        <v>1</v>
      </c>
      <c r="C394" s="42" t="s">
        <v>365</v>
      </c>
      <c r="D394" s="42">
        <v>212</v>
      </c>
      <c r="E394" s="42" t="s">
        <v>372</v>
      </c>
      <c r="F394" s="42" t="s">
        <v>844</v>
      </c>
      <c r="G394" s="42">
        <v>6937</v>
      </c>
      <c r="H394" s="42" t="s">
        <v>845</v>
      </c>
      <c r="I394" s="42">
        <v>20271724.050000001</v>
      </c>
      <c r="J394" s="42">
        <v>20350508.780000001</v>
      </c>
      <c r="K394" s="42" t="b">
        <v>0</v>
      </c>
      <c r="L394" s="42">
        <v>5</v>
      </c>
      <c r="M394" s="42" t="s">
        <v>108</v>
      </c>
      <c r="N394" s="42">
        <v>2</v>
      </c>
      <c r="O394" s="42" t="s">
        <v>122</v>
      </c>
      <c r="P394" s="42">
        <v>1</v>
      </c>
      <c r="Q394" s="42" t="s">
        <v>326</v>
      </c>
      <c r="R394" s="42" t="s">
        <v>114</v>
      </c>
      <c r="U394" s="42" t="s">
        <v>121</v>
      </c>
      <c r="V394" s="42">
        <v>1</v>
      </c>
      <c r="W394" s="42" t="s">
        <v>116</v>
      </c>
      <c r="X394" s="42">
        <v>18</v>
      </c>
      <c r="Y394" s="42" t="s">
        <v>117</v>
      </c>
      <c r="Z394" s="42">
        <v>16586257.612</v>
      </c>
      <c r="AA394" s="42">
        <v>1.22695</v>
      </c>
      <c r="AB394" s="42" t="s">
        <v>36</v>
      </c>
      <c r="AC394" s="42">
        <v>1</v>
      </c>
      <c r="AD394" s="42">
        <v>1</v>
      </c>
      <c r="AE394" s="42">
        <v>20350508.780000001</v>
      </c>
    </row>
    <row r="395" spans="1:31" x14ac:dyDescent="0.2">
      <c r="A395" s="42" t="s">
        <v>917</v>
      </c>
      <c r="B395" s="42">
        <v>1</v>
      </c>
      <c r="C395" s="42" t="s">
        <v>365</v>
      </c>
      <c r="D395" s="42">
        <v>212</v>
      </c>
      <c r="E395" s="42" t="s">
        <v>372</v>
      </c>
      <c r="F395" s="42" t="s">
        <v>846</v>
      </c>
      <c r="G395" s="42">
        <v>6957</v>
      </c>
      <c r="H395" s="42" t="s">
        <v>847</v>
      </c>
      <c r="I395" s="42">
        <v>26485169.199999999</v>
      </c>
      <c r="J395" s="42">
        <v>26485169.199999999</v>
      </c>
      <c r="K395" s="42" t="b">
        <v>0</v>
      </c>
      <c r="L395" s="42">
        <v>5</v>
      </c>
      <c r="M395" s="42" t="s">
        <v>108</v>
      </c>
      <c r="N395" s="42">
        <v>2</v>
      </c>
      <c r="O395" s="42" t="s">
        <v>122</v>
      </c>
      <c r="P395" s="42">
        <v>1</v>
      </c>
      <c r="Q395" s="42" t="s">
        <v>326</v>
      </c>
      <c r="R395" s="42" t="s">
        <v>114</v>
      </c>
      <c r="U395" s="42" t="s">
        <v>121</v>
      </c>
      <c r="V395" s="42">
        <v>1</v>
      </c>
      <c r="W395" s="42" t="s">
        <v>116</v>
      </c>
      <c r="X395" s="42">
        <v>18</v>
      </c>
      <c r="Y395" s="42" t="s">
        <v>117</v>
      </c>
      <c r="Z395" s="42">
        <v>8835752.8599999994</v>
      </c>
      <c r="AA395" s="42">
        <v>2.9975000000000001</v>
      </c>
      <c r="AB395" s="42" t="s">
        <v>36</v>
      </c>
      <c r="AC395" s="42">
        <v>1</v>
      </c>
      <c r="AD395" s="42">
        <v>1</v>
      </c>
      <c r="AE395" s="42">
        <v>26485169.199999999</v>
      </c>
    </row>
    <row r="396" spans="1:31" x14ac:dyDescent="0.2">
      <c r="A396" s="42" t="s">
        <v>917</v>
      </c>
      <c r="B396" s="42">
        <v>1</v>
      </c>
      <c r="C396" s="42" t="s">
        <v>365</v>
      </c>
      <c r="D396" s="42">
        <v>212</v>
      </c>
      <c r="E396" s="42" t="s">
        <v>372</v>
      </c>
      <c r="F396" s="42" t="s">
        <v>201</v>
      </c>
      <c r="G396" s="42">
        <v>7000</v>
      </c>
      <c r="H396" s="42" t="s">
        <v>202</v>
      </c>
      <c r="I396" s="42">
        <v>34497478.689999998</v>
      </c>
      <c r="J396" s="42">
        <v>34497478.689999998</v>
      </c>
      <c r="K396" s="42" t="b">
        <v>0</v>
      </c>
      <c r="L396" s="42">
        <v>5</v>
      </c>
      <c r="M396" s="42" t="s">
        <v>108</v>
      </c>
      <c r="N396" s="42">
        <v>4</v>
      </c>
      <c r="O396" s="42" t="s">
        <v>109</v>
      </c>
      <c r="P396" s="42">
        <v>6</v>
      </c>
      <c r="Q396" s="42" t="s">
        <v>109</v>
      </c>
      <c r="R396" s="42" t="s">
        <v>114</v>
      </c>
      <c r="U396" s="42" t="s">
        <v>121</v>
      </c>
      <c r="V396" s="42">
        <v>1</v>
      </c>
      <c r="W396" s="42" t="s">
        <v>116</v>
      </c>
      <c r="X396" s="42">
        <v>18</v>
      </c>
      <c r="Y396" s="42" t="s">
        <v>117</v>
      </c>
      <c r="Z396" s="42">
        <v>3740780.6</v>
      </c>
      <c r="AA396" s="42">
        <v>9.2219999999999995</v>
      </c>
      <c r="AB396" s="42" t="s">
        <v>36</v>
      </c>
      <c r="AC396" s="42">
        <v>1</v>
      </c>
      <c r="AD396" s="42">
        <v>1</v>
      </c>
      <c r="AE396" s="42">
        <v>34497478.689999998</v>
      </c>
    </row>
    <row r="397" spans="1:31" x14ac:dyDescent="0.2">
      <c r="A397" s="42" t="s">
        <v>917</v>
      </c>
      <c r="B397" s="42">
        <v>1</v>
      </c>
      <c r="C397" s="42" t="s">
        <v>365</v>
      </c>
      <c r="D397" s="42">
        <v>212</v>
      </c>
      <c r="E397" s="42" t="s">
        <v>372</v>
      </c>
      <c r="F397" s="42" t="s">
        <v>848</v>
      </c>
      <c r="G397" s="42">
        <v>10102</v>
      </c>
      <c r="H397" s="42" t="s">
        <v>849</v>
      </c>
      <c r="I397" s="42">
        <v>17371819.370000001</v>
      </c>
      <c r="J397" s="42">
        <v>17371819.370000001</v>
      </c>
      <c r="K397" s="42" t="b">
        <v>0</v>
      </c>
      <c r="L397" s="42">
        <v>5</v>
      </c>
      <c r="M397" s="42" t="s">
        <v>108</v>
      </c>
      <c r="N397" s="42">
        <v>4</v>
      </c>
      <c r="O397" s="42" t="s">
        <v>109</v>
      </c>
      <c r="P397" s="42">
        <v>26</v>
      </c>
      <c r="Q397" s="42" t="s">
        <v>327</v>
      </c>
      <c r="R397" s="42" t="s">
        <v>114</v>
      </c>
      <c r="U397" s="42" t="s">
        <v>121</v>
      </c>
      <c r="V397" s="42">
        <v>1</v>
      </c>
      <c r="W397" s="42" t="s">
        <v>116</v>
      </c>
      <c r="X397" s="42">
        <v>18</v>
      </c>
      <c r="Y397" s="42" t="s">
        <v>117</v>
      </c>
      <c r="Z397" s="42">
        <v>961256.05200000003</v>
      </c>
      <c r="AA397" s="42">
        <v>18.071999999999999</v>
      </c>
      <c r="AB397" s="42" t="s">
        <v>36</v>
      </c>
      <c r="AC397" s="42">
        <v>1</v>
      </c>
      <c r="AD397" s="42">
        <v>1</v>
      </c>
      <c r="AE397" s="42">
        <v>17371819.370000001</v>
      </c>
    </row>
    <row r="398" spans="1:31" x14ac:dyDescent="0.2">
      <c r="A398" s="42" t="s">
        <v>917</v>
      </c>
      <c r="B398" s="42">
        <v>1</v>
      </c>
      <c r="C398" s="42" t="s">
        <v>365</v>
      </c>
      <c r="D398" s="42">
        <v>212</v>
      </c>
      <c r="E398" s="42" t="s">
        <v>372</v>
      </c>
      <c r="F398" s="42" t="s">
        <v>850</v>
      </c>
      <c r="G398" s="42">
        <v>11152</v>
      </c>
      <c r="H398" s="42" t="s">
        <v>851</v>
      </c>
      <c r="I398" s="42">
        <v>19848395.309999999</v>
      </c>
      <c r="J398" s="42">
        <v>19848395.309999999</v>
      </c>
      <c r="K398" s="42" t="b">
        <v>0</v>
      </c>
      <c r="L398" s="42">
        <v>5</v>
      </c>
      <c r="M398" s="42" t="s">
        <v>108</v>
      </c>
      <c r="N398" s="42">
        <v>27</v>
      </c>
      <c r="O398" s="42" t="s">
        <v>129</v>
      </c>
      <c r="P398" s="42">
        <v>10</v>
      </c>
      <c r="Q398" s="42" t="s">
        <v>129</v>
      </c>
      <c r="R398" s="42" t="s">
        <v>114</v>
      </c>
      <c r="U398" s="42" t="s">
        <v>121</v>
      </c>
      <c r="V398" s="42">
        <v>1</v>
      </c>
      <c r="W398" s="42" t="s">
        <v>116</v>
      </c>
      <c r="X398" s="42">
        <v>18</v>
      </c>
      <c r="Y398" s="42" t="s">
        <v>117</v>
      </c>
      <c r="Z398" s="42">
        <v>10103535.41</v>
      </c>
      <c r="AA398" s="42">
        <v>1.9644999999999999</v>
      </c>
      <c r="AB398" s="42" t="s">
        <v>36</v>
      </c>
      <c r="AC398" s="42">
        <v>1</v>
      </c>
      <c r="AD398" s="42">
        <v>1</v>
      </c>
      <c r="AE398" s="42">
        <v>19848395.309999999</v>
      </c>
    </row>
    <row r="399" spans="1:31" x14ac:dyDescent="0.2">
      <c r="A399" s="42" t="s">
        <v>917</v>
      </c>
      <c r="B399" s="42">
        <v>1</v>
      </c>
      <c r="C399" s="42" t="s">
        <v>365</v>
      </c>
      <c r="D399" s="42">
        <v>212</v>
      </c>
      <c r="E399" s="42" t="s">
        <v>372</v>
      </c>
      <c r="F399" s="42" t="s">
        <v>852</v>
      </c>
      <c r="G399" s="42">
        <v>11153</v>
      </c>
      <c r="H399" s="42" t="s">
        <v>853</v>
      </c>
      <c r="I399" s="42">
        <v>12408078.83</v>
      </c>
      <c r="J399" s="42">
        <v>12408078.83</v>
      </c>
      <c r="K399" s="42" t="b">
        <v>0</v>
      </c>
      <c r="L399" s="42">
        <v>5</v>
      </c>
      <c r="M399" s="42" t="s">
        <v>108</v>
      </c>
      <c r="N399" s="42">
        <v>2</v>
      </c>
      <c r="O399" s="42" t="s">
        <v>122</v>
      </c>
      <c r="P399" s="42">
        <v>1</v>
      </c>
      <c r="Q399" s="42" t="s">
        <v>326</v>
      </c>
      <c r="R399" s="42" t="s">
        <v>114</v>
      </c>
      <c r="U399" s="42" t="s">
        <v>121</v>
      </c>
      <c r="V399" s="42">
        <v>1</v>
      </c>
      <c r="W399" s="42" t="s">
        <v>116</v>
      </c>
      <c r="X399" s="42">
        <v>18</v>
      </c>
      <c r="Y399" s="42" t="s">
        <v>117</v>
      </c>
      <c r="Z399" s="42">
        <v>4668201.2170000002</v>
      </c>
      <c r="AA399" s="42">
        <v>2.6579999999999999</v>
      </c>
      <c r="AB399" s="42" t="s">
        <v>36</v>
      </c>
      <c r="AC399" s="42">
        <v>1</v>
      </c>
      <c r="AD399" s="42">
        <v>1</v>
      </c>
      <c r="AE399" s="42">
        <v>12408078.83</v>
      </c>
    </row>
    <row r="400" spans="1:31" x14ac:dyDescent="0.2">
      <c r="A400" s="42" t="s">
        <v>917</v>
      </c>
      <c r="B400" s="42">
        <v>1</v>
      </c>
      <c r="C400" s="42" t="s">
        <v>365</v>
      </c>
      <c r="D400" s="42">
        <v>212</v>
      </c>
      <c r="E400" s="42" t="s">
        <v>372</v>
      </c>
      <c r="F400" s="42" t="s">
        <v>694</v>
      </c>
      <c r="G400" s="42">
        <v>11155</v>
      </c>
      <c r="H400" s="42" t="s">
        <v>695</v>
      </c>
      <c r="I400" s="42">
        <v>16587598.07</v>
      </c>
      <c r="J400" s="42">
        <v>16587598.07</v>
      </c>
      <c r="K400" s="42" t="b">
        <v>0</v>
      </c>
      <c r="L400" s="42">
        <v>5</v>
      </c>
      <c r="M400" s="42" t="s">
        <v>108</v>
      </c>
      <c r="N400" s="42">
        <v>5</v>
      </c>
      <c r="O400" s="42" t="s">
        <v>143</v>
      </c>
      <c r="P400" s="42">
        <v>55</v>
      </c>
      <c r="Q400" s="42" t="s">
        <v>143</v>
      </c>
      <c r="R400" s="42" t="s">
        <v>114</v>
      </c>
      <c r="U400" s="42" t="s">
        <v>115</v>
      </c>
      <c r="V400" s="42">
        <v>1</v>
      </c>
      <c r="W400" s="42" t="s">
        <v>116</v>
      </c>
      <c r="X400" s="42">
        <v>18</v>
      </c>
      <c r="Y400" s="42" t="s">
        <v>117</v>
      </c>
      <c r="Z400" s="42">
        <v>115913.78</v>
      </c>
      <c r="AA400" s="42">
        <v>143.10290000000001</v>
      </c>
      <c r="AB400" s="42" t="s">
        <v>36</v>
      </c>
      <c r="AC400" s="42">
        <v>1</v>
      </c>
      <c r="AD400" s="42">
        <v>1</v>
      </c>
      <c r="AE400" s="42">
        <v>16587598.07</v>
      </c>
    </row>
    <row r="401" spans="1:31" x14ac:dyDescent="0.2">
      <c r="A401" s="42" t="s">
        <v>917</v>
      </c>
      <c r="B401" s="42">
        <v>1</v>
      </c>
      <c r="C401" s="42" t="s">
        <v>365</v>
      </c>
      <c r="D401" s="42">
        <v>212</v>
      </c>
      <c r="E401" s="42" t="s">
        <v>372</v>
      </c>
      <c r="F401" s="42" t="s">
        <v>854</v>
      </c>
      <c r="G401" s="42">
        <v>11156</v>
      </c>
      <c r="H401" s="42" t="s">
        <v>855</v>
      </c>
      <c r="I401" s="42">
        <v>28065942.73</v>
      </c>
      <c r="J401" s="42">
        <v>28065942.73</v>
      </c>
      <c r="K401" s="42" t="b">
        <v>0</v>
      </c>
      <c r="L401" s="42">
        <v>5</v>
      </c>
      <c r="M401" s="42" t="s">
        <v>108</v>
      </c>
      <c r="N401" s="42">
        <v>4</v>
      </c>
      <c r="O401" s="42" t="s">
        <v>109</v>
      </c>
      <c r="P401" s="42">
        <v>6</v>
      </c>
      <c r="Q401" s="42" t="s">
        <v>109</v>
      </c>
      <c r="R401" s="42" t="s">
        <v>114</v>
      </c>
      <c r="U401" s="42" t="s">
        <v>121</v>
      </c>
      <c r="V401" s="42">
        <v>1</v>
      </c>
      <c r="W401" s="42" t="s">
        <v>116</v>
      </c>
      <c r="X401" s="42">
        <v>18</v>
      </c>
      <c r="Y401" s="42" t="s">
        <v>117</v>
      </c>
      <c r="Z401" s="42">
        <v>95006.038100000005</v>
      </c>
      <c r="AA401" s="42">
        <v>295.41219999999998</v>
      </c>
      <c r="AB401" s="42" t="s">
        <v>36</v>
      </c>
      <c r="AC401" s="42">
        <v>1</v>
      </c>
      <c r="AD401" s="42">
        <v>1</v>
      </c>
      <c r="AE401" s="42">
        <v>28065942.73</v>
      </c>
    </row>
    <row r="402" spans="1:31" x14ac:dyDescent="0.2">
      <c r="A402" s="42" t="s">
        <v>917</v>
      </c>
      <c r="B402" s="42">
        <v>1</v>
      </c>
      <c r="C402" s="42" t="s">
        <v>365</v>
      </c>
      <c r="D402" s="42">
        <v>212</v>
      </c>
      <c r="E402" s="42" t="s">
        <v>372</v>
      </c>
      <c r="F402" s="42" t="s">
        <v>856</v>
      </c>
      <c r="G402" s="42">
        <v>11157</v>
      </c>
      <c r="H402" s="42" t="s">
        <v>857</v>
      </c>
      <c r="I402" s="42">
        <v>6169991.6699999999</v>
      </c>
      <c r="J402" s="42">
        <v>6169991.6699999999</v>
      </c>
      <c r="K402" s="42" t="b">
        <v>0</v>
      </c>
      <c r="L402" s="42">
        <v>5</v>
      </c>
      <c r="M402" s="42" t="s">
        <v>108</v>
      </c>
      <c r="N402" s="42">
        <v>2</v>
      </c>
      <c r="O402" s="42" t="s">
        <v>122</v>
      </c>
      <c r="P402" s="42">
        <v>2</v>
      </c>
      <c r="Q402" s="42" t="s">
        <v>322</v>
      </c>
      <c r="R402" s="42" t="s">
        <v>114</v>
      </c>
      <c r="U402" s="42" t="s">
        <v>121</v>
      </c>
      <c r="V402" s="42">
        <v>1</v>
      </c>
      <c r="W402" s="42" t="s">
        <v>116</v>
      </c>
      <c r="X402" s="42">
        <v>18</v>
      </c>
      <c r="Y402" s="42" t="s">
        <v>117</v>
      </c>
      <c r="Z402" s="42">
        <v>3564408.8190000001</v>
      </c>
      <c r="AA402" s="42">
        <v>1.7310000000000001</v>
      </c>
      <c r="AB402" s="42" t="s">
        <v>36</v>
      </c>
      <c r="AC402" s="42">
        <v>1</v>
      </c>
      <c r="AD402" s="42">
        <v>1</v>
      </c>
      <c r="AE402" s="42">
        <v>6169991.6699999999</v>
      </c>
    </row>
    <row r="403" spans="1:31" x14ac:dyDescent="0.2">
      <c r="A403" s="42" t="s">
        <v>917</v>
      </c>
      <c r="B403" s="42">
        <v>1</v>
      </c>
      <c r="C403" s="42" t="s">
        <v>365</v>
      </c>
      <c r="D403" s="42">
        <v>212</v>
      </c>
      <c r="E403" s="42" t="s">
        <v>372</v>
      </c>
      <c r="F403" s="42" t="s">
        <v>703</v>
      </c>
      <c r="G403" s="42">
        <v>11920</v>
      </c>
      <c r="H403" s="42" t="s">
        <v>704</v>
      </c>
      <c r="I403" s="42">
        <v>9633641.0800000001</v>
      </c>
      <c r="J403" s="42">
        <v>9633641.0800000001</v>
      </c>
      <c r="K403" s="42" t="b">
        <v>0</v>
      </c>
      <c r="L403" s="42">
        <v>5</v>
      </c>
      <c r="M403" s="42" t="s">
        <v>108</v>
      </c>
      <c r="N403" s="42">
        <v>29</v>
      </c>
      <c r="O403" s="42" t="s">
        <v>142</v>
      </c>
      <c r="P403" s="42">
        <v>3</v>
      </c>
      <c r="Q403" s="42" t="s">
        <v>325</v>
      </c>
      <c r="R403" s="42" t="s">
        <v>114</v>
      </c>
      <c r="U403" s="42" t="s">
        <v>121</v>
      </c>
      <c r="V403" s="42">
        <v>1</v>
      </c>
      <c r="W403" s="42" t="s">
        <v>116</v>
      </c>
      <c r="X403" s="42">
        <v>18</v>
      </c>
      <c r="Y403" s="42" t="s">
        <v>117</v>
      </c>
      <c r="Z403" s="42">
        <v>8355282.8099999996</v>
      </c>
      <c r="AA403" s="42">
        <v>1.153</v>
      </c>
      <c r="AB403" s="42" t="s">
        <v>36</v>
      </c>
      <c r="AC403" s="42">
        <v>1</v>
      </c>
      <c r="AD403" s="42">
        <v>1</v>
      </c>
      <c r="AE403" s="42">
        <v>9633641.0800000001</v>
      </c>
    </row>
    <row r="404" spans="1:31" x14ac:dyDescent="0.2">
      <c r="A404" s="42" t="s">
        <v>917</v>
      </c>
      <c r="B404" s="42">
        <v>1</v>
      </c>
      <c r="C404" s="42" t="s">
        <v>366</v>
      </c>
      <c r="D404" s="42">
        <v>213</v>
      </c>
      <c r="E404" s="42" t="s">
        <v>373</v>
      </c>
      <c r="F404" s="42" t="s">
        <v>136</v>
      </c>
      <c r="G404" s="42">
        <v>2874</v>
      </c>
      <c r="H404" s="42" t="s">
        <v>137</v>
      </c>
      <c r="I404" s="42">
        <v>19714153.82</v>
      </c>
      <c r="J404" s="42">
        <v>19714153.82</v>
      </c>
      <c r="K404" s="42" t="b">
        <v>0</v>
      </c>
      <c r="L404" s="42">
        <v>4</v>
      </c>
      <c r="M404" s="42" t="s">
        <v>128</v>
      </c>
      <c r="N404" s="42">
        <v>2</v>
      </c>
      <c r="O404" s="42" t="s">
        <v>122</v>
      </c>
      <c r="P404" s="42">
        <v>14</v>
      </c>
      <c r="Q404" s="42" t="s">
        <v>323</v>
      </c>
      <c r="R404" s="42" t="s">
        <v>114</v>
      </c>
      <c r="U404" s="42" t="s">
        <v>121</v>
      </c>
      <c r="V404" s="42">
        <v>1</v>
      </c>
      <c r="W404" s="42" t="s">
        <v>116</v>
      </c>
      <c r="X404" s="42">
        <v>18</v>
      </c>
      <c r="Y404" s="42" t="s">
        <v>117</v>
      </c>
      <c r="Z404" s="42">
        <v>9450696.9399999995</v>
      </c>
      <c r="AA404" s="42">
        <v>2.0859999999999999</v>
      </c>
      <c r="AB404" s="42" t="s">
        <v>36</v>
      </c>
      <c r="AC404" s="42">
        <v>1</v>
      </c>
      <c r="AD404" s="42">
        <v>1</v>
      </c>
      <c r="AE404" s="42">
        <v>19714153.82</v>
      </c>
    </row>
    <row r="405" spans="1:31" x14ac:dyDescent="0.2">
      <c r="A405" s="42" t="s">
        <v>917</v>
      </c>
      <c r="B405" s="42">
        <v>1</v>
      </c>
      <c r="C405" s="42" t="s">
        <v>366</v>
      </c>
      <c r="D405" s="42">
        <v>213</v>
      </c>
      <c r="E405" s="42" t="s">
        <v>373</v>
      </c>
      <c r="F405" s="42" t="s">
        <v>858</v>
      </c>
      <c r="G405" s="42">
        <v>6733</v>
      </c>
      <c r="H405" s="42" t="s">
        <v>859</v>
      </c>
      <c r="I405" s="42">
        <v>6234426.1600000001</v>
      </c>
      <c r="J405" s="42">
        <v>6234426.1600000001</v>
      </c>
      <c r="K405" s="42" t="b">
        <v>0</v>
      </c>
      <c r="L405" s="42">
        <v>4</v>
      </c>
      <c r="M405" s="42" t="s">
        <v>128</v>
      </c>
      <c r="N405" s="42">
        <v>2</v>
      </c>
      <c r="O405" s="42" t="s">
        <v>122</v>
      </c>
      <c r="P405" s="42">
        <v>122</v>
      </c>
      <c r="Q405" s="42" t="s">
        <v>346</v>
      </c>
      <c r="R405" s="42" t="s">
        <v>114</v>
      </c>
      <c r="U405" s="42" t="s">
        <v>121</v>
      </c>
      <c r="V405" s="42">
        <v>1</v>
      </c>
      <c r="W405" s="42" t="s">
        <v>116</v>
      </c>
      <c r="X405" s="42">
        <v>18</v>
      </c>
      <c r="Y405" s="42" t="s">
        <v>117</v>
      </c>
      <c r="Z405" s="42">
        <v>6545329.3042000001</v>
      </c>
      <c r="AA405" s="42">
        <v>0.95250000000000001</v>
      </c>
      <c r="AB405" s="42" t="s">
        <v>36</v>
      </c>
      <c r="AC405" s="42">
        <v>1</v>
      </c>
      <c r="AD405" s="42">
        <v>1</v>
      </c>
      <c r="AE405" s="42">
        <v>6234426.1600000001</v>
      </c>
    </row>
    <row r="406" spans="1:31" x14ac:dyDescent="0.2">
      <c r="A406" s="42" t="s">
        <v>917</v>
      </c>
      <c r="B406" s="42">
        <v>1</v>
      </c>
      <c r="C406" s="42" t="s">
        <v>366</v>
      </c>
      <c r="D406" s="42">
        <v>213</v>
      </c>
      <c r="E406" s="42" t="s">
        <v>373</v>
      </c>
      <c r="F406" s="42" t="s">
        <v>387</v>
      </c>
      <c r="G406" s="42">
        <v>11158</v>
      </c>
      <c r="H406" s="42" t="s">
        <v>388</v>
      </c>
      <c r="I406" s="42">
        <v>19743792.789999999</v>
      </c>
      <c r="J406" s="42">
        <v>19743792.789999999</v>
      </c>
      <c r="K406" s="42" t="b">
        <v>0</v>
      </c>
      <c r="L406" s="42">
        <v>4</v>
      </c>
      <c r="M406" s="42" t="s">
        <v>128</v>
      </c>
      <c r="N406" s="42">
        <v>2</v>
      </c>
      <c r="O406" s="42" t="s">
        <v>122</v>
      </c>
      <c r="P406" s="42">
        <v>14</v>
      </c>
      <c r="Q406" s="42" t="s">
        <v>323</v>
      </c>
      <c r="R406" s="42" t="s">
        <v>114</v>
      </c>
      <c r="U406" s="42" t="s">
        <v>121</v>
      </c>
      <c r="V406" s="42">
        <v>1</v>
      </c>
      <c r="W406" s="42" t="s">
        <v>116</v>
      </c>
      <c r="X406" s="42">
        <v>18</v>
      </c>
      <c r="Y406" s="42" t="s">
        <v>117</v>
      </c>
      <c r="Z406" s="42">
        <v>19965408.822999999</v>
      </c>
      <c r="AA406" s="42">
        <v>0.9889</v>
      </c>
      <c r="AB406" s="42" t="s">
        <v>36</v>
      </c>
      <c r="AC406" s="42">
        <v>1</v>
      </c>
      <c r="AD406" s="42">
        <v>1</v>
      </c>
      <c r="AE406" s="42">
        <v>19743792.789999999</v>
      </c>
    </row>
    <row r="407" spans="1:31" x14ac:dyDescent="0.2">
      <c r="A407" s="42" t="s">
        <v>917</v>
      </c>
      <c r="B407" s="42">
        <v>1</v>
      </c>
      <c r="C407" s="42" t="s">
        <v>366</v>
      </c>
      <c r="D407" s="42">
        <v>213</v>
      </c>
      <c r="E407" s="42" t="s">
        <v>373</v>
      </c>
      <c r="F407" s="42" t="s">
        <v>860</v>
      </c>
      <c r="G407" s="42">
        <v>11159</v>
      </c>
      <c r="H407" s="42" t="s">
        <v>861</v>
      </c>
      <c r="I407" s="42">
        <v>23234426.579999998</v>
      </c>
      <c r="J407" s="42">
        <v>23234426.579999998</v>
      </c>
      <c r="K407" s="42" t="b">
        <v>0</v>
      </c>
      <c r="L407" s="42">
        <v>4</v>
      </c>
      <c r="M407" s="42" t="s">
        <v>128</v>
      </c>
      <c r="N407" s="42">
        <v>2</v>
      </c>
      <c r="O407" s="42" t="s">
        <v>122</v>
      </c>
      <c r="P407" s="42">
        <v>14</v>
      </c>
      <c r="Q407" s="42" t="s">
        <v>323</v>
      </c>
      <c r="R407" s="42" t="s">
        <v>114</v>
      </c>
      <c r="U407" s="42" t="s">
        <v>115</v>
      </c>
      <c r="V407" s="42">
        <v>1</v>
      </c>
      <c r="W407" s="42" t="s">
        <v>116</v>
      </c>
      <c r="X407" s="42">
        <v>18</v>
      </c>
      <c r="Y407" s="42" t="s">
        <v>117</v>
      </c>
      <c r="Z407" s="42">
        <v>1630486.0759999999</v>
      </c>
      <c r="AA407" s="42">
        <v>14.25</v>
      </c>
      <c r="AB407" s="42" t="s">
        <v>36</v>
      </c>
      <c r="AC407" s="42">
        <v>1</v>
      </c>
      <c r="AD407" s="42">
        <v>1</v>
      </c>
      <c r="AE407" s="42">
        <v>23234426.579999998</v>
      </c>
    </row>
    <row r="408" spans="1:31" x14ac:dyDescent="0.2">
      <c r="A408" s="42" t="s">
        <v>917</v>
      </c>
      <c r="B408" s="42">
        <v>1</v>
      </c>
      <c r="C408" s="42" t="s">
        <v>366</v>
      </c>
      <c r="D408" s="42">
        <v>213</v>
      </c>
      <c r="E408" s="42" t="s">
        <v>373</v>
      </c>
      <c r="F408" s="42" t="s">
        <v>862</v>
      </c>
      <c r="G408" s="42">
        <v>11161</v>
      </c>
      <c r="H408" s="42" t="s">
        <v>863</v>
      </c>
      <c r="I408" s="42">
        <v>33642872.399999999</v>
      </c>
      <c r="J408" s="42">
        <v>33642872.399999999</v>
      </c>
      <c r="K408" s="42" t="b">
        <v>0</v>
      </c>
      <c r="L408" s="42">
        <v>4</v>
      </c>
      <c r="M408" s="42" t="s">
        <v>128</v>
      </c>
      <c r="N408" s="42">
        <v>1</v>
      </c>
      <c r="O408" s="42" t="s">
        <v>112</v>
      </c>
      <c r="P408" s="42">
        <v>38</v>
      </c>
      <c r="Q408" s="42" t="s">
        <v>378</v>
      </c>
      <c r="R408" s="42" t="s">
        <v>114</v>
      </c>
      <c r="U408" s="42" t="s">
        <v>115</v>
      </c>
      <c r="V408" s="42">
        <v>1</v>
      </c>
      <c r="W408" s="42" t="s">
        <v>116</v>
      </c>
      <c r="X408" s="42">
        <v>18</v>
      </c>
      <c r="Y408" s="42" t="s">
        <v>117</v>
      </c>
      <c r="Z408" s="42">
        <v>313973.34999999998</v>
      </c>
      <c r="AA408" s="42">
        <v>107.152</v>
      </c>
      <c r="AB408" s="42" t="s">
        <v>36</v>
      </c>
      <c r="AC408" s="42">
        <v>1</v>
      </c>
      <c r="AD408" s="42">
        <v>1</v>
      </c>
      <c r="AE408" s="42">
        <v>33642872.399999999</v>
      </c>
    </row>
    <row r="409" spans="1:31" x14ac:dyDescent="0.2">
      <c r="A409" s="42" t="s">
        <v>917</v>
      </c>
      <c r="B409" s="42">
        <v>1</v>
      </c>
      <c r="C409" s="42" t="s">
        <v>366</v>
      </c>
      <c r="D409" s="42">
        <v>213</v>
      </c>
      <c r="E409" s="42" t="s">
        <v>373</v>
      </c>
      <c r="F409" s="42" t="s">
        <v>864</v>
      </c>
      <c r="G409" s="42">
        <v>11163</v>
      </c>
      <c r="H409" s="42" t="s">
        <v>865</v>
      </c>
      <c r="I409" s="42">
        <v>23053750.059999999</v>
      </c>
      <c r="J409" s="42">
        <v>23053750.059999999</v>
      </c>
      <c r="K409" s="42" t="b">
        <v>0</v>
      </c>
      <c r="L409" s="42">
        <v>4</v>
      </c>
      <c r="M409" s="42" t="s">
        <v>128</v>
      </c>
      <c r="N409" s="42">
        <v>2</v>
      </c>
      <c r="O409" s="42" t="s">
        <v>122</v>
      </c>
      <c r="P409" s="42">
        <v>275</v>
      </c>
      <c r="Q409" s="42" t="s">
        <v>866</v>
      </c>
      <c r="R409" s="42" t="s">
        <v>114</v>
      </c>
      <c r="U409" s="42" t="s">
        <v>115</v>
      </c>
      <c r="V409" s="42">
        <v>1</v>
      </c>
      <c r="W409" s="42" t="s">
        <v>116</v>
      </c>
      <c r="X409" s="42">
        <v>18</v>
      </c>
      <c r="Y409" s="42" t="s">
        <v>117</v>
      </c>
      <c r="Z409" s="42">
        <v>234258.7</v>
      </c>
      <c r="AA409" s="42">
        <v>98.411500000000004</v>
      </c>
      <c r="AB409" s="42" t="s">
        <v>36</v>
      </c>
      <c r="AC409" s="42">
        <v>1</v>
      </c>
      <c r="AD409" s="42">
        <v>1</v>
      </c>
      <c r="AE409" s="42">
        <v>23053750.059999999</v>
      </c>
    </row>
    <row r="410" spans="1:31" x14ac:dyDescent="0.2">
      <c r="A410" s="42" t="s">
        <v>917</v>
      </c>
      <c r="B410" s="42">
        <v>1</v>
      </c>
      <c r="C410" s="42" t="s">
        <v>366</v>
      </c>
      <c r="D410" s="42">
        <v>213</v>
      </c>
      <c r="E410" s="42" t="s">
        <v>373</v>
      </c>
      <c r="F410" s="42" t="s">
        <v>867</v>
      </c>
      <c r="G410" s="42">
        <v>11283</v>
      </c>
      <c r="H410" s="42" t="s">
        <v>868</v>
      </c>
      <c r="I410" s="42">
        <v>7325484.75</v>
      </c>
      <c r="J410" s="42">
        <v>7325484.75</v>
      </c>
      <c r="K410" s="42" t="b">
        <v>0</v>
      </c>
      <c r="L410" s="42">
        <v>4</v>
      </c>
      <c r="M410" s="42" t="s">
        <v>128</v>
      </c>
      <c r="N410" s="42">
        <v>2</v>
      </c>
      <c r="O410" s="42" t="s">
        <v>122</v>
      </c>
      <c r="P410" s="42">
        <v>14</v>
      </c>
      <c r="Q410" s="42" t="s">
        <v>323</v>
      </c>
      <c r="R410" s="42" t="s">
        <v>114</v>
      </c>
      <c r="U410" s="42" t="s">
        <v>121</v>
      </c>
      <c r="V410" s="42">
        <v>1</v>
      </c>
      <c r="W410" s="42" t="s">
        <v>116</v>
      </c>
      <c r="X410" s="42">
        <v>18</v>
      </c>
      <c r="Y410" s="42" t="s">
        <v>117</v>
      </c>
      <c r="Z410" s="42">
        <v>7631508.2350000003</v>
      </c>
      <c r="AA410" s="42">
        <v>0.95989999999999998</v>
      </c>
      <c r="AB410" s="42" t="s">
        <v>36</v>
      </c>
      <c r="AC410" s="42">
        <v>1</v>
      </c>
      <c r="AD410" s="42">
        <v>1</v>
      </c>
      <c r="AE410" s="42">
        <v>7325484.75</v>
      </c>
    </row>
    <row r="411" spans="1:31" x14ac:dyDescent="0.2">
      <c r="A411" s="42" t="s">
        <v>917</v>
      </c>
      <c r="B411" s="42">
        <v>1</v>
      </c>
      <c r="C411" s="42" t="s">
        <v>366</v>
      </c>
      <c r="D411" s="42">
        <v>213</v>
      </c>
      <c r="E411" s="42" t="s">
        <v>373</v>
      </c>
      <c r="F411" s="42" t="s">
        <v>869</v>
      </c>
      <c r="G411" s="42">
        <v>11297</v>
      </c>
      <c r="H411" s="42" t="s">
        <v>870</v>
      </c>
      <c r="I411" s="42">
        <v>15576047.16</v>
      </c>
      <c r="J411" s="42">
        <v>15576047.16</v>
      </c>
      <c r="K411" s="42" t="b">
        <v>0</v>
      </c>
      <c r="L411" s="42">
        <v>4</v>
      </c>
      <c r="M411" s="42" t="s">
        <v>128</v>
      </c>
      <c r="N411" s="42">
        <v>2</v>
      </c>
      <c r="O411" s="42" t="s">
        <v>122</v>
      </c>
      <c r="P411" s="42">
        <v>14</v>
      </c>
      <c r="Q411" s="42" t="s">
        <v>323</v>
      </c>
      <c r="R411" s="42" t="s">
        <v>114</v>
      </c>
      <c r="U411" s="42" t="s">
        <v>121</v>
      </c>
      <c r="V411" s="42">
        <v>1</v>
      </c>
      <c r="W411" s="42" t="s">
        <v>116</v>
      </c>
      <c r="X411" s="42">
        <v>18</v>
      </c>
      <c r="Y411" s="42" t="s">
        <v>117</v>
      </c>
      <c r="Z411" s="42">
        <v>18651714.960000001</v>
      </c>
      <c r="AA411" s="42">
        <v>0.83509999999999995</v>
      </c>
      <c r="AB411" s="42" t="s">
        <v>36</v>
      </c>
      <c r="AC411" s="42">
        <v>1</v>
      </c>
      <c r="AD411" s="42">
        <v>1</v>
      </c>
      <c r="AE411" s="42">
        <v>15576047.16</v>
      </c>
    </row>
    <row r="412" spans="1:31" x14ac:dyDescent="0.2">
      <c r="A412" s="42" t="s">
        <v>917</v>
      </c>
      <c r="B412" s="42">
        <v>1</v>
      </c>
      <c r="C412" s="42" t="s">
        <v>366</v>
      </c>
      <c r="D412" s="42">
        <v>213</v>
      </c>
      <c r="E412" s="42" t="s">
        <v>373</v>
      </c>
      <c r="F412" s="42" t="s">
        <v>871</v>
      </c>
      <c r="G412" s="42">
        <v>11395</v>
      </c>
      <c r="H412" s="42" t="s">
        <v>872</v>
      </c>
      <c r="I412" s="42">
        <v>6194139.7699999996</v>
      </c>
      <c r="J412" s="42">
        <v>6194139.7699999996</v>
      </c>
      <c r="K412" s="42" t="b">
        <v>0</v>
      </c>
      <c r="L412" s="42">
        <v>4</v>
      </c>
      <c r="M412" s="42" t="s">
        <v>128</v>
      </c>
      <c r="N412" s="42">
        <v>1</v>
      </c>
      <c r="O412" s="42" t="s">
        <v>112</v>
      </c>
      <c r="P412" s="42">
        <v>16</v>
      </c>
      <c r="Q412" s="42" t="s">
        <v>335</v>
      </c>
      <c r="R412" s="42" t="s">
        <v>114</v>
      </c>
      <c r="U412" s="42" t="s">
        <v>115</v>
      </c>
      <c r="V412" s="42">
        <v>1</v>
      </c>
      <c r="W412" s="42" t="s">
        <v>116</v>
      </c>
      <c r="X412" s="42">
        <v>18</v>
      </c>
      <c r="Y412" s="42" t="s">
        <v>117</v>
      </c>
      <c r="Z412" s="42">
        <v>62109.03</v>
      </c>
      <c r="AA412" s="42">
        <v>99.730099999999993</v>
      </c>
      <c r="AB412" s="42" t="s">
        <v>36</v>
      </c>
      <c r="AC412" s="42">
        <v>1</v>
      </c>
      <c r="AD412" s="42">
        <v>1</v>
      </c>
      <c r="AE412" s="42">
        <v>6194139.7699999996</v>
      </c>
    </row>
    <row r="413" spans="1:31" x14ac:dyDescent="0.2">
      <c r="A413" s="42" t="s">
        <v>917</v>
      </c>
      <c r="B413" s="42">
        <v>1</v>
      </c>
      <c r="C413" s="42" t="s">
        <v>366</v>
      </c>
      <c r="D413" s="42">
        <v>213</v>
      </c>
      <c r="E413" s="42" t="s">
        <v>373</v>
      </c>
      <c r="F413" s="42" t="s">
        <v>873</v>
      </c>
      <c r="G413" s="42">
        <v>11653</v>
      </c>
      <c r="H413" s="42" t="s">
        <v>874</v>
      </c>
      <c r="I413" s="42">
        <v>24250444.170000002</v>
      </c>
      <c r="J413" s="42">
        <v>24250444.170000002</v>
      </c>
      <c r="K413" s="42" t="b">
        <v>0</v>
      </c>
      <c r="L413" s="42">
        <v>4</v>
      </c>
      <c r="M413" s="42" t="s">
        <v>128</v>
      </c>
      <c r="N413" s="42">
        <v>1</v>
      </c>
      <c r="O413" s="42" t="s">
        <v>112</v>
      </c>
      <c r="P413" s="42">
        <v>16</v>
      </c>
      <c r="Q413" s="42" t="s">
        <v>335</v>
      </c>
      <c r="R413" s="42" t="s">
        <v>114</v>
      </c>
      <c r="U413" s="42" t="s">
        <v>121</v>
      </c>
      <c r="V413" s="42">
        <v>1</v>
      </c>
      <c r="W413" s="42" t="s">
        <v>116</v>
      </c>
      <c r="X413" s="42">
        <v>18</v>
      </c>
      <c r="Y413" s="42" t="s">
        <v>117</v>
      </c>
      <c r="Z413" s="42">
        <v>25626592.169</v>
      </c>
      <c r="AA413" s="42">
        <v>0.94630000000000003</v>
      </c>
      <c r="AB413" s="42" t="s">
        <v>36</v>
      </c>
      <c r="AC413" s="42">
        <v>1</v>
      </c>
      <c r="AD413" s="42">
        <v>1</v>
      </c>
      <c r="AE413" s="42">
        <v>24250444.170000002</v>
      </c>
    </row>
    <row r="414" spans="1:31" x14ac:dyDescent="0.2">
      <c r="A414" s="42" t="s">
        <v>917</v>
      </c>
      <c r="B414" s="42">
        <v>1</v>
      </c>
      <c r="C414" s="42" t="s">
        <v>366</v>
      </c>
      <c r="D414" s="42">
        <v>213</v>
      </c>
      <c r="E414" s="42" t="s">
        <v>373</v>
      </c>
      <c r="F414" s="42" t="s">
        <v>875</v>
      </c>
      <c r="G414" s="42">
        <v>11654</v>
      </c>
      <c r="H414" s="42" t="s">
        <v>876</v>
      </c>
      <c r="I414" s="42">
        <v>24021244.140000001</v>
      </c>
      <c r="J414" s="42">
        <v>24021244.140000001</v>
      </c>
      <c r="K414" s="42" t="b">
        <v>0</v>
      </c>
      <c r="L414" s="42">
        <v>4</v>
      </c>
      <c r="M414" s="42" t="s">
        <v>128</v>
      </c>
      <c r="N414" s="42">
        <v>1</v>
      </c>
      <c r="O414" s="42" t="s">
        <v>112</v>
      </c>
      <c r="P414" s="42">
        <v>16</v>
      </c>
      <c r="Q414" s="42" t="s">
        <v>335</v>
      </c>
      <c r="R414" s="42" t="s">
        <v>114</v>
      </c>
      <c r="U414" s="42" t="s">
        <v>115</v>
      </c>
      <c r="V414" s="42">
        <v>1</v>
      </c>
      <c r="W414" s="42" t="s">
        <v>116</v>
      </c>
      <c r="X414" s="42">
        <v>18</v>
      </c>
      <c r="Y414" s="42" t="s">
        <v>117</v>
      </c>
      <c r="Z414" s="42">
        <v>261055.93</v>
      </c>
      <c r="AA414" s="42">
        <v>92.015699999999995</v>
      </c>
      <c r="AB414" s="42" t="s">
        <v>36</v>
      </c>
      <c r="AC414" s="42">
        <v>1</v>
      </c>
      <c r="AD414" s="42">
        <v>1</v>
      </c>
      <c r="AE414" s="42">
        <v>24021244.140000001</v>
      </c>
    </row>
    <row r="415" spans="1:31" x14ac:dyDescent="0.2">
      <c r="A415" s="42" t="s">
        <v>917</v>
      </c>
      <c r="B415" s="42">
        <v>1</v>
      </c>
      <c r="C415" s="42" t="s">
        <v>367</v>
      </c>
      <c r="D415" s="42">
        <v>214</v>
      </c>
      <c r="E415" s="42" t="s">
        <v>374</v>
      </c>
      <c r="F415" s="42" t="s">
        <v>132</v>
      </c>
      <c r="G415" s="42">
        <v>2856</v>
      </c>
      <c r="H415" s="42" t="s">
        <v>133</v>
      </c>
      <c r="I415" s="42">
        <v>24884720.23</v>
      </c>
      <c r="J415" s="42">
        <v>24884720.23</v>
      </c>
      <c r="K415" s="42" t="b">
        <v>0</v>
      </c>
      <c r="L415" s="42">
        <v>5</v>
      </c>
      <c r="M415" s="42" t="s">
        <v>108</v>
      </c>
      <c r="N415" s="42">
        <v>4</v>
      </c>
      <c r="O415" s="42" t="s">
        <v>109</v>
      </c>
      <c r="P415" s="42">
        <v>6</v>
      </c>
      <c r="Q415" s="42" t="s">
        <v>109</v>
      </c>
      <c r="R415" s="42" t="s">
        <v>114</v>
      </c>
      <c r="U415" s="42" t="s">
        <v>121</v>
      </c>
      <c r="V415" s="42">
        <v>1</v>
      </c>
      <c r="W415" s="42" t="s">
        <v>116</v>
      </c>
      <c r="X415" s="42">
        <v>18</v>
      </c>
      <c r="Y415" s="42" t="s">
        <v>117</v>
      </c>
      <c r="Z415" s="42">
        <v>7196067.2699999996</v>
      </c>
      <c r="AA415" s="42">
        <v>3.4581</v>
      </c>
      <c r="AB415" s="42" t="s">
        <v>36</v>
      </c>
      <c r="AC415" s="42">
        <v>1</v>
      </c>
      <c r="AD415" s="42">
        <v>1</v>
      </c>
      <c r="AE415" s="42">
        <v>24884720.23</v>
      </c>
    </row>
    <row r="416" spans="1:31" x14ac:dyDescent="0.2">
      <c r="A416" s="42" t="s">
        <v>917</v>
      </c>
      <c r="B416" s="42">
        <v>1</v>
      </c>
      <c r="C416" s="42" t="s">
        <v>367</v>
      </c>
      <c r="D416" s="42">
        <v>214</v>
      </c>
      <c r="E416" s="42" t="s">
        <v>374</v>
      </c>
      <c r="F416" s="42" t="s">
        <v>207</v>
      </c>
      <c r="G416" s="42">
        <v>2898</v>
      </c>
      <c r="H416" s="42" t="s">
        <v>208</v>
      </c>
      <c r="I416" s="42">
        <v>14775716.380000001</v>
      </c>
      <c r="J416" s="42">
        <v>14775716.380000001</v>
      </c>
      <c r="K416" s="42" t="b">
        <v>0</v>
      </c>
      <c r="L416" s="42">
        <v>14</v>
      </c>
      <c r="M416" s="42" t="s">
        <v>331</v>
      </c>
      <c r="N416" s="42">
        <v>1</v>
      </c>
      <c r="O416" s="42" t="s">
        <v>112</v>
      </c>
      <c r="P416" s="42">
        <v>22</v>
      </c>
      <c r="Q416" s="42" t="s">
        <v>209</v>
      </c>
      <c r="R416" s="42" t="s">
        <v>114</v>
      </c>
      <c r="U416" s="42" t="s">
        <v>121</v>
      </c>
      <c r="V416" s="42">
        <v>1</v>
      </c>
      <c r="W416" s="42" t="s">
        <v>116</v>
      </c>
      <c r="X416" s="42">
        <v>18</v>
      </c>
      <c r="Y416" s="42" t="s">
        <v>117</v>
      </c>
      <c r="Z416" s="42">
        <v>20919887.272999998</v>
      </c>
      <c r="AA416" s="42">
        <v>0.70630000000000004</v>
      </c>
      <c r="AB416" s="42" t="s">
        <v>36</v>
      </c>
      <c r="AC416" s="42">
        <v>1</v>
      </c>
      <c r="AD416" s="42">
        <v>1</v>
      </c>
      <c r="AE416" s="42">
        <v>14775716.380000001</v>
      </c>
    </row>
    <row r="417" spans="1:31" x14ac:dyDescent="0.2">
      <c r="A417" s="42" t="s">
        <v>917</v>
      </c>
      <c r="B417" s="42">
        <v>1</v>
      </c>
      <c r="C417" s="42" t="s">
        <v>367</v>
      </c>
      <c r="D417" s="42">
        <v>214</v>
      </c>
      <c r="E417" s="42" t="s">
        <v>374</v>
      </c>
      <c r="F417" s="42" t="s">
        <v>140</v>
      </c>
      <c r="G417" s="42">
        <v>2914</v>
      </c>
      <c r="H417" s="42" t="s">
        <v>141</v>
      </c>
      <c r="I417" s="42">
        <v>11061113.32</v>
      </c>
      <c r="J417" s="42">
        <v>11061113.32</v>
      </c>
      <c r="K417" s="42" t="b">
        <v>0</v>
      </c>
      <c r="L417" s="42">
        <v>5</v>
      </c>
      <c r="M417" s="42" t="s">
        <v>108</v>
      </c>
      <c r="N417" s="42">
        <v>29</v>
      </c>
      <c r="O417" s="42" t="s">
        <v>142</v>
      </c>
      <c r="P417" s="42">
        <v>3</v>
      </c>
      <c r="Q417" s="42" t="s">
        <v>325</v>
      </c>
      <c r="R417" s="42" t="s">
        <v>114</v>
      </c>
      <c r="U417" s="42" t="s">
        <v>121</v>
      </c>
      <c r="V417" s="42">
        <v>1</v>
      </c>
      <c r="W417" s="42" t="s">
        <v>116</v>
      </c>
      <c r="X417" s="42">
        <v>18</v>
      </c>
      <c r="Y417" s="42" t="s">
        <v>117</v>
      </c>
      <c r="Z417" s="42">
        <v>884181.72</v>
      </c>
      <c r="AA417" s="42">
        <v>12.51</v>
      </c>
      <c r="AB417" s="42" t="s">
        <v>36</v>
      </c>
      <c r="AC417" s="42">
        <v>1</v>
      </c>
      <c r="AD417" s="42">
        <v>1</v>
      </c>
      <c r="AE417" s="42">
        <v>11061113.32</v>
      </c>
    </row>
    <row r="418" spans="1:31" x14ac:dyDescent="0.2">
      <c r="A418" s="42" t="s">
        <v>917</v>
      </c>
      <c r="B418" s="42">
        <v>1</v>
      </c>
      <c r="C418" s="42" t="s">
        <v>367</v>
      </c>
      <c r="D418" s="42">
        <v>214</v>
      </c>
      <c r="E418" s="42" t="s">
        <v>374</v>
      </c>
      <c r="F418" s="42" t="s">
        <v>877</v>
      </c>
      <c r="G418" s="42">
        <v>6415</v>
      </c>
      <c r="H418" s="42" t="s">
        <v>878</v>
      </c>
      <c r="I418" s="42">
        <v>12248864.85</v>
      </c>
      <c r="J418" s="42">
        <v>12248864.85</v>
      </c>
      <c r="K418" s="42" t="b">
        <v>0</v>
      </c>
      <c r="L418" s="42">
        <v>5</v>
      </c>
      <c r="M418" s="42" t="s">
        <v>108</v>
      </c>
      <c r="N418" s="42">
        <v>5</v>
      </c>
      <c r="O418" s="42" t="s">
        <v>143</v>
      </c>
      <c r="P418" s="42">
        <v>55</v>
      </c>
      <c r="Q418" s="42" t="s">
        <v>143</v>
      </c>
      <c r="R418" s="42" t="s">
        <v>114</v>
      </c>
      <c r="U418" s="42" t="s">
        <v>121</v>
      </c>
      <c r="V418" s="42">
        <v>1</v>
      </c>
      <c r="W418" s="42" t="s">
        <v>116</v>
      </c>
      <c r="X418" s="42">
        <v>18</v>
      </c>
      <c r="Y418" s="42" t="s">
        <v>117</v>
      </c>
      <c r="Z418" s="42">
        <v>228523.598</v>
      </c>
      <c r="AA418" s="42">
        <v>53.6</v>
      </c>
      <c r="AB418" s="42" t="s">
        <v>36</v>
      </c>
      <c r="AC418" s="42">
        <v>1</v>
      </c>
      <c r="AD418" s="42">
        <v>1</v>
      </c>
      <c r="AE418" s="42">
        <v>12248864.85</v>
      </c>
    </row>
    <row r="419" spans="1:31" x14ac:dyDescent="0.2">
      <c r="A419" s="42" t="s">
        <v>917</v>
      </c>
      <c r="B419" s="42">
        <v>1</v>
      </c>
      <c r="C419" s="42" t="s">
        <v>367</v>
      </c>
      <c r="D419" s="42">
        <v>214</v>
      </c>
      <c r="E419" s="42" t="s">
        <v>374</v>
      </c>
      <c r="F419" s="42" t="s">
        <v>846</v>
      </c>
      <c r="G419" s="42">
        <v>6957</v>
      </c>
      <c r="H419" s="42" t="s">
        <v>847</v>
      </c>
      <c r="I419" s="42">
        <v>23359034.960000001</v>
      </c>
      <c r="J419" s="42">
        <v>23359034.960000001</v>
      </c>
      <c r="K419" s="42" t="b">
        <v>0</v>
      </c>
      <c r="L419" s="42">
        <v>5</v>
      </c>
      <c r="M419" s="42" t="s">
        <v>108</v>
      </c>
      <c r="N419" s="42">
        <v>2</v>
      </c>
      <c r="O419" s="42" t="s">
        <v>122</v>
      </c>
      <c r="P419" s="42">
        <v>1</v>
      </c>
      <c r="Q419" s="42" t="s">
        <v>326</v>
      </c>
      <c r="R419" s="42" t="s">
        <v>114</v>
      </c>
      <c r="U419" s="42" t="s">
        <v>121</v>
      </c>
      <c r="V419" s="42">
        <v>1</v>
      </c>
      <c r="W419" s="42" t="s">
        <v>116</v>
      </c>
      <c r="X419" s="42">
        <v>18</v>
      </c>
      <c r="Y419" s="42" t="s">
        <v>117</v>
      </c>
      <c r="Z419" s="42">
        <v>7792839.0199999996</v>
      </c>
      <c r="AA419" s="42">
        <v>2.9975000000000001</v>
      </c>
      <c r="AB419" s="42" t="s">
        <v>36</v>
      </c>
      <c r="AC419" s="42">
        <v>1</v>
      </c>
      <c r="AD419" s="42">
        <v>1</v>
      </c>
      <c r="AE419" s="42">
        <v>23359034.960000001</v>
      </c>
    </row>
    <row r="420" spans="1:31" x14ac:dyDescent="0.2">
      <c r="A420" s="42" t="s">
        <v>917</v>
      </c>
      <c r="B420" s="42">
        <v>1</v>
      </c>
      <c r="C420" s="42" t="s">
        <v>367</v>
      </c>
      <c r="D420" s="42">
        <v>214</v>
      </c>
      <c r="E420" s="42" t="s">
        <v>374</v>
      </c>
      <c r="F420" s="42" t="s">
        <v>201</v>
      </c>
      <c r="G420" s="42">
        <v>7000</v>
      </c>
      <c r="H420" s="42" t="s">
        <v>202</v>
      </c>
      <c r="I420" s="42">
        <v>24812252.469999999</v>
      </c>
      <c r="J420" s="42">
        <v>24812252.469999999</v>
      </c>
      <c r="K420" s="42" t="b">
        <v>0</v>
      </c>
      <c r="L420" s="42">
        <v>5</v>
      </c>
      <c r="M420" s="42" t="s">
        <v>108</v>
      </c>
      <c r="N420" s="42">
        <v>4</v>
      </c>
      <c r="O420" s="42" t="s">
        <v>109</v>
      </c>
      <c r="P420" s="42">
        <v>6</v>
      </c>
      <c r="Q420" s="42" t="s">
        <v>109</v>
      </c>
      <c r="R420" s="42" t="s">
        <v>114</v>
      </c>
      <c r="U420" s="42" t="s">
        <v>121</v>
      </c>
      <c r="V420" s="42">
        <v>1</v>
      </c>
      <c r="W420" s="42" t="s">
        <v>116</v>
      </c>
      <c r="X420" s="42">
        <v>18</v>
      </c>
      <c r="Y420" s="42" t="s">
        <v>117</v>
      </c>
      <c r="Z420" s="42">
        <v>2690550.04</v>
      </c>
      <c r="AA420" s="42">
        <v>9.2219999999999995</v>
      </c>
      <c r="AB420" s="42" t="s">
        <v>36</v>
      </c>
      <c r="AC420" s="42">
        <v>1</v>
      </c>
      <c r="AD420" s="42">
        <v>1</v>
      </c>
      <c r="AE420" s="42">
        <v>24812252.469999999</v>
      </c>
    </row>
    <row r="421" spans="1:31" x14ac:dyDescent="0.2">
      <c r="A421" s="42" t="s">
        <v>917</v>
      </c>
      <c r="B421" s="42">
        <v>1</v>
      </c>
      <c r="C421" s="42" t="s">
        <v>367</v>
      </c>
      <c r="D421" s="42">
        <v>214</v>
      </c>
      <c r="E421" s="42" t="s">
        <v>374</v>
      </c>
      <c r="F421" s="42" t="s">
        <v>850</v>
      </c>
      <c r="G421" s="42">
        <v>11152</v>
      </c>
      <c r="H421" s="42" t="s">
        <v>851</v>
      </c>
      <c r="I421" s="42">
        <v>6213870.7199999997</v>
      </c>
      <c r="J421" s="42">
        <v>6213870.7199999997</v>
      </c>
      <c r="K421" s="42" t="b">
        <v>0</v>
      </c>
      <c r="L421" s="42">
        <v>5</v>
      </c>
      <c r="M421" s="42" t="s">
        <v>108</v>
      </c>
      <c r="N421" s="42">
        <v>27</v>
      </c>
      <c r="O421" s="42" t="s">
        <v>129</v>
      </c>
      <c r="P421" s="42">
        <v>10</v>
      </c>
      <c r="Q421" s="42" t="s">
        <v>129</v>
      </c>
      <c r="R421" s="42" t="s">
        <v>114</v>
      </c>
      <c r="U421" s="42" t="s">
        <v>121</v>
      </c>
      <c r="V421" s="42">
        <v>1</v>
      </c>
      <c r="W421" s="42" t="s">
        <v>116</v>
      </c>
      <c r="X421" s="42">
        <v>18</v>
      </c>
      <c r="Y421" s="42" t="s">
        <v>117</v>
      </c>
      <c r="Z421" s="42">
        <v>3163080.03</v>
      </c>
      <c r="AA421" s="42">
        <v>1.9644999999999999</v>
      </c>
      <c r="AB421" s="42" t="s">
        <v>36</v>
      </c>
      <c r="AC421" s="42">
        <v>1</v>
      </c>
      <c r="AD421" s="42">
        <v>1</v>
      </c>
      <c r="AE421" s="42">
        <v>6213870.7199999997</v>
      </c>
    </row>
    <row r="422" spans="1:31" x14ac:dyDescent="0.2">
      <c r="A422" s="42" t="s">
        <v>917</v>
      </c>
      <c r="B422" s="42">
        <v>1</v>
      </c>
      <c r="C422" s="42" t="s">
        <v>367</v>
      </c>
      <c r="D422" s="42">
        <v>214</v>
      </c>
      <c r="E422" s="42" t="s">
        <v>374</v>
      </c>
      <c r="F422" s="42" t="s">
        <v>694</v>
      </c>
      <c r="G422" s="42">
        <v>11155</v>
      </c>
      <c r="H422" s="42" t="s">
        <v>695</v>
      </c>
      <c r="I422" s="42">
        <v>13970364.800000001</v>
      </c>
      <c r="J422" s="42">
        <v>13970364.800000001</v>
      </c>
      <c r="K422" s="42" t="b">
        <v>0</v>
      </c>
      <c r="L422" s="42">
        <v>5</v>
      </c>
      <c r="M422" s="42" t="s">
        <v>108</v>
      </c>
      <c r="N422" s="42">
        <v>5</v>
      </c>
      <c r="O422" s="42" t="s">
        <v>143</v>
      </c>
      <c r="P422" s="42">
        <v>55</v>
      </c>
      <c r="Q422" s="42" t="s">
        <v>143</v>
      </c>
      <c r="R422" s="42" t="s">
        <v>114</v>
      </c>
      <c r="U422" s="42" t="s">
        <v>115</v>
      </c>
      <c r="V422" s="42">
        <v>1</v>
      </c>
      <c r="W422" s="42" t="s">
        <v>116</v>
      </c>
      <c r="X422" s="42">
        <v>18</v>
      </c>
      <c r="Y422" s="42" t="s">
        <v>117</v>
      </c>
      <c r="Z422" s="42">
        <v>97624.61</v>
      </c>
      <c r="AA422" s="42">
        <v>143.10290000000001</v>
      </c>
      <c r="AB422" s="42" t="s">
        <v>36</v>
      </c>
      <c r="AC422" s="42">
        <v>1</v>
      </c>
      <c r="AD422" s="42">
        <v>1</v>
      </c>
      <c r="AE422" s="42">
        <v>13970364.800000001</v>
      </c>
    </row>
    <row r="423" spans="1:31" x14ac:dyDescent="0.2">
      <c r="A423" s="42" t="s">
        <v>917</v>
      </c>
      <c r="B423" s="42">
        <v>1</v>
      </c>
      <c r="C423" s="42" t="s">
        <v>367</v>
      </c>
      <c r="D423" s="42">
        <v>214</v>
      </c>
      <c r="E423" s="42" t="s">
        <v>374</v>
      </c>
      <c r="F423" s="42" t="s">
        <v>879</v>
      </c>
      <c r="G423" s="42">
        <v>11165</v>
      </c>
      <c r="H423" s="42" t="s">
        <v>880</v>
      </c>
      <c r="I423" s="42">
        <v>4434973.55</v>
      </c>
      <c r="J423" s="42">
        <v>4434973.55</v>
      </c>
      <c r="K423" s="42" t="b">
        <v>0</v>
      </c>
      <c r="L423" s="42">
        <v>5</v>
      </c>
      <c r="M423" s="42" t="s">
        <v>108</v>
      </c>
      <c r="N423" s="42">
        <v>28</v>
      </c>
      <c r="O423" s="42" t="s">
        <v>120</v>
      </c>
      <c r="P423" s="42">
        <v>9</v>
      </c>
      <c r="Q423" s="42" t="s">
        <v>320</v>
      </c>
      <c r="R423" s="42" t="s">
        <v>114</v>
      </c>
      <c r="U423" s="42" t="s">
        <v>121</v>
      </c>
      <c r="V423" s="42">
        <v>1</v>
      </c>
      <c r="W423" s="42" t="s">
        <v>116</v>
      </c>
      <c r="X423" s="42">
        <v>18</v>
      </c>
      <c r="Y423" s="42" t="s">
        <v>117</v>
      </c>
      <c r="Z423" s="42">
        <v>3994392.1013000002</v>
      </c>
      <c r="AA423" s="42">
        <v>1.1103000000000001</v>
      </c>
      <c r="AB423" s="42" t="s">
        <v>36</v>
      </c>
      <c r="AC423" s="42">
        <v>1</v>
      </c>
      <c r="AD423" s="42">
        <v>1</v>
      </c>
      <c r="AE423" s="42">
        <v>4434973.55</v>
      </c>
    </row>
    <row r="424" spans="1:31" x14ac:dyDescent="0.2">
      <c r="A424" s="42" t="s">
        <v>917</v>
      </c>
      <c r="B424" s="42">
        <v>1</v>
      </c>
      <c r="C424" s="42" t="s">
        <v>367</v>
      </c>
      <c r="D424" s="42">
        <v>214</v>
      </c>
      <c r="E424" s="42" t="s">
        <v>374</v>
      </c>
      <c r="F424" s="42" t="s">
        <v>881</v>
      </c>
      <c r="G424" s="42">
        <v>11166</v>
      </c>
      <c r="H424" s="42" t="s">
        <v>882</v>
      </c>
      <c r="I424" s="42">
        <v>9643607.0600000005</v>
      </c>
      <c r="J424" s="42">
        <v>9643607.0600000005</v>
      </c>
      <c r="K424" s="42" t="b">
        <v>0</v>
      </c>
      <c r="L424" s="42">
        <v>5</v>
      </c>
      <c r="M424" s="42" t="s">
        <v>108</v>
      </c>
      <c r="N424" s="42">
        <v>29</v>
      </c>
      <c r="O424" s="42" t="s">
        <v>142</v>
      </c>
      <c r="P424" s="42">
        <v>3</v>
      </c>
      <c r="Q424" s="42" t="s">
        <v>325</v>
      </c>
      <c r="R424" s="42" t="s">
        <v>114</v>
      </c>
      <c r="U424" s="42" t="s">
        <v>121</v>
      </c>
      <c r="V424" s="42">
        <v>1</v>
      </c>
      <c r="W424" s="42" t="s">
        <v>116</v>
      </c>
      <c r="X424" s="42">
        <v>18</v>
      </c>
      <c r="Y424" s="42" t="s">
        <v>117</v>
      </c>
      <c r="Z424" s="42">
        <v>7057158.4768000003</v>
      </c>
      <c r="AA424" s="42">
        <v>1.3665</v>
      </c>
      <c r="AB424" s="42" t="s">
        <v>36</v>
      </c>
      <c r="AC424" s="42">
        <v>1</v>
      </c>
      <c r="AD424" s="42">
        <v>1</v>
      </c>
      <c r="AE424" s="42">
        <v>9643607.0600000005</v>
      </c>
    </row>
    <row r="425" spans="1:31" x14ac:dyDescent="0.2">
      <c r="A425" s="42" t="s">
        <v>917</v>
      </c>
      <c r="B425" s="42">
        <v>1</v>
      </c>
      <c r="C425" s="42" t="s">
        <v>367</v>
      </c>
      <c r="D425" s="42">
        <v>214</v>
      </c>
      <c r="E425" s="42" t="s">
        <v>374</v>
      </c>
      <c r="F425" s="42" t="s">
        <v>883</v>
      </c>
      <c r="G425" s="42">
        <v>11167</v>
      </c>
      <c r="H425" s="42" t="s">
        <v>884</v>
      </c>
      <c r="I425" s="42">
        <v>5440648.8600000003</v>
      </c>
      <c r="J425" s="42">
        <v>5440648.8600000003</v>
      </c>
      <c r="K425" s="42" t="b">
        <v>0</v>
      </c>
      <c r="L425" s="42">
        <v>5</v>
      </c>
      <c r="M425" s="42" t="s">
        <v>108</v>
      </c>
      <c r="N425" s="42">
        <v>27</v>
      </c>
      <c r="O425" s="42" t="s">
        <v>129</v>
      </c>
      <c r="P425" s="42">
        <v>10</v>
      </c>
      <c r="Q425" s="42" t="s">
        <v>129</v>
      </c>
      <c r="R425" s="42" t="s">
        <v>114</v>
      </c>
      <c r="U425" s="42" t="s">
        <v>121</v>
      </c>
      <c r="V425" s="42">
        <v>1</v>
      </c>
      <c r="W425" s="42" t="s">
        <v>116</v>
      </c>
      <c r="X425" s="42">
        <v>18</v>
      </c>
      <c r="Y425" s="42" t="s">
        <v>117</v>
      </c>
      <c r="Z425" s="42">
        <v>4635073.1436999999</v>
      </c>
      <c r="AA425" s="42">
        <v>1.1738</v>
      </c>
      <c r="AB425" s="42" t="s">
        <v>36</v>
      </c>
      <c r="AC425" s="42">
        <v>1</v>
      </c>
      <c r="AD425" s="42">
        <v>1</v>
      </c>
      <c r="AE425" s="42">
        <v>5440648.8600000003</v>
      </c>
    </row>
    <row r="426" spans="1:31" x14ac:dyDescent="0.2">
      <c r="A426" s="42" t="s">
        <v>917</v>
      </c>
      <c r="B426" s="42">
        <v>1</v>
      </c>
      <c r="C426" s="42" t="s">
        <v>367</v>
      </c>
      <c r="D426" s="42">
        <v>214</v>
      </c>
      <c r="E426" s="42" t="s">
        <v>374</v>
      </c>
      <c r="F426" s="42" t="s">
        <v>885</v>
      </c>
      <c r="G426" s="42">
        <v>11169</v>
      </c>
      <c r="H426" s="42" t="s">
        <v>886</v>
      </c>
      <c r="I426" s="42">
        <v>26619573.98</v>
      </c>
      <c r="J426" s="42">
        <v>26619573.98</v>
      </c>
      <c r="K426" s="42" t="b">
        <v>0</v>
      </c>
      <c r="L426" s="42">
        <v>5</v>
      </c>
      <c r="M426" s="42" t="s">
        <v>108</v>
      </c>
      <c r="N426" s="42">
        <v>1</v>
      </c>
      <c r="O426" s="42" t="s">
        <v>112</v>
      </c>
      <c r="P426" s="42">
        <v>51</v>
      </c>
      <c r="Q426" s="42" t="s">
        <v>112</v>
      </c>
      <c r="R426" s="42" t="s">
        <v>114</v>
      </c>
      <c r="U426" s="42" t="s">
        <v>115</v>
      </c>
      <c r="V426" s="42">
        <v>1</v>
      </c>
      <c r="W426" s="42" t="s">
        <v>116</v>
      </c>
      <c r="X426" s="42">
        <v>18</v>
      </c>
      <c r="Y426" s="42" t="s">
        <v>117</v>
      </c>
      <c r="Z426" s="42">
        <v>124314.84</v>
      </c>
      <c r="AA426" s="42">
        <v>214.13030000000001</v>
      </c>
      <c r="AB426" s="42" t="s">
        <v>36</v>
      </c>
      <c r="AC426" s="42">
        <v>1</v>
      </c>
      <c r="AD426" s="42">
        <v>1</v>
      </c>
      <c r="AE426" s="42">
        <v>26619573.98</v>
      </c>
    </row>
    <row r="427" spans="1:31" x14ac:dyDescent="0.2">
      <c r="A427" s="42" t="s">
        <v>917</v>
      </c>
      <c r="B427" s="42">
        <v>1</v>
      </c>
      <c r="C427" s="42" t="s">
        <v>367</v>
      </c>
      <c r="D427" s="42">
        <v>214</v>
      </c>
      <c r="E427" s="42" t="s">
        <v>374</v>
      </c>
      <c r="F427" s="42" t="s">
        <v>887</v>
      </c>
      <c r="G427" s="42">
        <v>11170</v>
      </c>
      <c r="H427" s="42" t="s">
        <v>888</v>
      </c>
      <c r="I427" s="42">
        <v>26148416.25</v>
      </c>
      <c r="J427" s="42">
        <v>26148416.25</v>
      </c>
      <c r="K427" s="42" t="b">
        <v>0</v>
      </c>
      <c r="L427" s="42">
        <v>5</v>
      </c>
      <c r="M427" s="42" t="s">
        <v>108</v>
      </c>
      <c r="N427" s="42">
        <v>1</v>
      </c>
      <c r="O427" s="42" t="s">
        <v>112</v>
      </c>
      <c r="P427" s="42">
        <v>20</v>
      </c>
      <c r="Q427" s="42" t="s">
        <v>249</v>
      </c>
      <c r="R427" s="42" t="s">
        <v>114</v>
      </c>
      <c r="U427" s="42" t="s">
        <v>115</v>
      </c>
      <c r="V427" s="42">
        <v>1</v>
      </c>
      <c r="W427" s="42" t="s">
        <v>116</v>
      </c>
      <c r="X427" s="42">
        <v>18</v>
      </c>
      <c r="Y427" s="42" t="s">
        <v>117</v>
      </c>
      <c r="Z427" s="42">
        <v>1556453.348</v>
      </c>
      <c r="AA427" s="42">
        <v>16.8</v>
      </c>
      <c r="AB427" s="42" t="s">
        <v>36</v>
      </c>
      <c r="AC427" s="42">
        <v>1</v>
      </c>
      <c r="AD427" s="42">
        <v>1</v>
      </c>
      <c r="AE427" s="42">
        <v>26148416.25</v>
      </c>
    </row>
    <row r="428" spans="1:31" x14ac:dyDescent="0.2">
      <c r="A428" s="42" t="s">
        <v>917</v>
      </c>
      <c r="B428" s="42">
        <v>1</v>
      </c>
      <c r="C428" s="42" t="s">
        <v>367</v>
      </c>
      <c r="D428" s="42">
        <v>214</v>
      </c>
      <c r="E428" s="42" t="s">
        <v>374</v>
      </c>
      <c r="F428" s="42" t="s">
        <v>889</v>
      </c>
      <c r="G428" s="42">
        <v>11171</v>
      </c>
      <c r="H428" s="42" t="s">
        <v>890</v>
      </c>
      <c r="I428" s="42">
        <v>8421193.9800000004</v>
      </c>
      <c r="J428" s="42">
        <v>8421193.9800000004</v>
      </c>
      <c r="K428" s="42" t="b">
        <v>0</v>
      </c>
      <c r="L428" s="42">
        <v>5</v>
      </c>
      <c r="M428" s="42" t="s">
        <v>108</v>
      </c>
      <c r="N428" s="42">
        <v>2</v>
      </c>
      <c r="O428" s="42" t="s">
        <v>122</v>
      </c>
      <c r="P428" s="42">
        <v>23</v>
      </c>
      <c r="Q428" s="42" t="s">
        <v>328</v>
      </c>
      <c r="R428" s="42" t="s">
        <v>114</v>
      </c>
      <c r="U428" s="42" t="s">
        <v>121</v>
      </c>
      <c r="V428" s="42">
        <v>1</v>
      </c>
      <c r="W428" s="42" t="s">
        <v>116</v>
      </c>
      <c r="X428" s="42">
        <v>18</v>
      </c>
      <c r="Y428" s="42" t="s">
        <v>117</v>
      </c>
      <c r="Z428" s="42">
        <v>171301.74900000001</v>
      </c>
      <c r="AA428" s="42">
        <v>49.16</v>
      </c>
      <c r="AB428" s="42" t="s">
        <v>36</v>
      </c>
      <c r="AC428" s="42">
        <v>1</v>
      </c>
      <c r="AD428" s="42">
        <v>1</v>
      </c>
      <c r="AE428" s="42">
        <v>8421193.9800000004</v>
      </c>
    </row>
    <row r="429" spans="1:31" x14ac:dyDescent="0.2">
      <c r="A429" s="42" t="s">
        <v>917</v>
      </c>
      <c r="B429" s="42">
        <v>1</v>
      </c>
      <c r="C429" s="42" t="s">
        <v>367</v>
      </c>
      <c r="D429" s="42">
        <v>214</v>
      </c>
      <c r="E429" s="42" t="s">
        <v>374</v>
      </c>
      <c r="F429" s="42" t="s">
        <v>891</v>
      </c>
      <c r="G429" s="42">
        <v>11172</v>
      </c>
      <c r="H429" s="42" t="s">
        <v>892</v>
      </c>
      <c r="I429" s="42">
        <v>8210431.75</v>
      </c>
      <c r="J429" s="42">
        <v>8210431.75</v>
      </c>
      <c r="K429" s="42" t="b">
        <v>0</v>
      </c>
      <c r="L429" s="42">
        <v>5</v>
      </c>
      <c r="M429" s="42" t="s">
        <v>108</v>
      </c>
      <c r="N429" s="42">
        <v>2</v>
      </c>
      <c r="O429" s="42" t="s">
        <v>122</v>
      </c>
      <c r="P429" s="42">
        <v>1</v>
      </c>
      <c r="Q429" s="42" t="s">
        <v>326</v>
      </c>
      <c r="R429" s="42" t="s">
        <v>114</v>
      </c>
      <c r="U429" s="42" t="s">
        <v>121</v>
      </c>
      <c r="V429" s="42">
        <v>1</v>
      </c>
      <c r="W429" s="42" t="s">
        <v>116</v>
      </c>
      <c r="X429" s="42">
        <v>18</v>
      </c>
      <c r="Y429" s="42" t="s">
        <v>117</v>
      </c>
      <c r="Z429" s="42">
        <v>279076.538</v>
      </c>
      <c r="AA429" s="42">
        <v>29.42</v>
      </c>
      <c r="AB429" s="42" t="s">
        <v>36</v>
      </c>
      <c r="AC429" s="42">
        <v>1</v>
      </c>
      <c r="AD429" s="42">
        <v>1</v>
      </c>
      <c r="AE429" s="42">
        <v>8210431.75</v>
      </c>
    </row>
    <row r="430" spans="1:31" x14ac:dyDescent="0.2">
      <c r="A430" s="42" t="s">
        <v>917</v>
      </c>
      <c r="B430" s="42">
        <v>1</v>
      </c>
      <c r="C430" s="42" t="s">
        <v>367</v>
      </c>
      <c r="D430" s="42">
        <v>214</v>
      </c>
      <c r="E430" s="42" t="s">
        <v>374</v>
      </c>
      <c r="F430" s="42" t="s">
        <v>754</v>
      </c>
      <c r="G430" s="42">
        <v>11173</v>
      </c>
      <c r="H430" s="42" t="s">
        <v>755</v>
      </c>
      <c r="I430" s="42">
        <v>43213313.189999998</v>
      </c>
      <c r="J430" s="42">
        <v>43213313.189999998</v>
      </c>
      <c r="K430" s="42" t="b">
        <v>0</v>
      </c>
      <c r="L430" s="42">
        <v>5</v>
      </c>
      <c r="M430" s="42" t="s">
        <v>108</v>
      </c>
      <c r="N430" s="42">
        <v>4</v>
      </c>
      <c r="O430" s="42" t="s">
        <v>109</v>
      </c>
      <c r="P430" s="42">
        <v>6</v>
      </c>
      <c r="Q430" s="42" t="s">
        <v>109</v>
      </c>
      <c r="R430" s="42" t="s">
        <v>114</v>
      </c>
      <c r="U430" s="42" t="s">
        <v>121</v>
      </c>
      <c r="V430" s="42">
        <v>1</v>
      </c>
      <c r="W430" s="42" t="s">
        <v>116</v>
      </c>
      <c r="X430" s="42">
        <v>18</v>
      </c>
      <c r="Y430" s="42" t="s">
        <v>117</v>
      </c>
      <c r="Z430" s="42">
        <v>6873439.3499999996</v>
      </c>
      <c r="AA430" s="42">
        <v>6.2869999999999999</v>
      </c>
      <c r="AB430" s="42" t="s">
        <v>36</v>
      </c>
      <c r="AC430" s="42">
        <v>1</v>
      </c>
      <c r="AD430" s="42">
        <v>1</v>
      </c>
      <c r="AE430" s="42">
        <v>43213313.189999998</v>
      </c>
    </row>
    <row r="431" spans="1:31" x14ac:dyDescent="0.2">
      <c r="A431" s="42" t="s">
        <v>917</v>
      </c>
      <c r="B431" s="42">
        <v>1</v>
      </c>
      <c r="C431" s="42" t="s">
        <v>367</v>
      </c>
      <c r="D431" s="42">
        <v>214</v>
      </c>
      <c r="E431" s="42" t="s">
        <v>374</v>
      </c>
      <c r="F431" s="42" t="s">
        <v>893</v>
      </c>
      <c r="G431" s="42">
        <v>11174</v>
      </c>
      <c r="H431" s="42" t="s">
        <v>894</v>
      </c>
      <c r="I431" s="42">
        <v>5035608.47</v>
      </c>
      <c r="J431" s="42">
        <v>5035608.47</v>
      </c>
      <c r="K431" s="42" t="b">
        <v>0</v>
      </c>
      <c r="L431" s="42">
        <v>5</v>
      </c>
      <c r="M431" s="42" t="s">
        <v>108</v>
      </c>
      <c r="N431" s="42">
        <v>28</v>
      </c>
      <c r="O431" s="42" t="s">
        <v>120</v>
      </c>
      <c r="P431" s="42">
        <v>9</v>
      </c>
      <c r="Q431" s="42" t="s">
        <v>320</v>
      </c>
      <c r="R431" s="42" t="s">
        <v>114</v>
      </c>
      <c r="U431" s="42" t="s">
        <v>121</v>
      </c>
      <c r="V431" s="42">
        <v>1</v>
      </c>
      <c r="W431" s="42" t="s">
        <v>116</v>
      </c>
      <c r="X431" s="42">
        <v>18</v>
      </c>
      <c r="Y431" s="42" t="s">
        <v>117</v>
      </c>
      <c r="Z431" s="42">
        <v>1011166.36</v>
      </c>
      <c r="AA431" s="42">
        <v>4.9800000000000004</v>
      </c>
      <c r="AB431" s="42" t="s">
        <v>36</v>
      </c>
      <c r="AC431" s="42">
        <v>1</v>
      </c>
      <c r="AD431" s="42">
        <v>1</v>
      </c>
      <c r="AE431" s="42">
        <v>5035608.47</v>
      </c>
    </row>
    <row r="432" spans="1:31" x14ac:dyDescent="0.2">
      <c r="A432" s="42" t="s">
        <v>917</v>
      </c>
      <c r="B432" s="42">
        <v>1</v>
      </c>
      <c r="C432" s="42" t="s">
        <v>367</v>
      </c>
      <c r="D432" s="42">
        <v>214</v>
      </c>
      <c r="E432" s="42" t="s">
        <v>374</v>
      </c>
      <c r="F432" s="42" t="s">
        <v>895</v>
      </c>
      <c r="G432" s="42">
        <v>11175</v>
      </c>
      <c r="H432" s="42" t="s">
        <v>896</v>
      </c>
      <c r="I432" s="42">
        <v>26768274.800000001</v>
      </c>
      <c r="J432" s="42">
        <v>26768274.800000001</v>
      </c>
      <c r="K432" s="42" t="b">
        <v>0</v>
      </c>
      <c r="L432" s="42">
        <v>5</v>
      </c>
      <c r="M432" s="42" t="s">
        <v>108</v>
      </c>
      <c r="N432" s="42">
        <v>2</v>
      </c>
      <c r="O432" s="42" t="s">
        <v>122</v>
      </c>
      <c r="P432" s="42">
        <v>1</v>
      </c>
      <c r="Q432" s="42" t="s">
        <v>326</v>
      </c>
      <c r="R432" s="42" t="s">
        <v>114</v>
      </c>
      <c r="U432" s="42" t="s">
        <v>121</v>
      </c>
      <c r="V432" s="42">
        <v>1</v>
      </c>
      <c r="W432" s="42" t="s">
        <v>116</v>
      </c>
      <c r="X432" s="42">
        <v>18</v>
      </c>
      <c r="Y432" s="42" t="s">
        <v>117</v>
      </c>
      <c r="Z432" s="42">
        <v>169429.64799999999</v>
      </c>
      <c r="AA432" s="42">
        <v>157.9905</v>
      </c>
      <c r="AB432" s="42" t="s">
        <v>36</v>
      </c>
      <c r="AC432" s="42">
        <v>1</v>
      </c>
      <c r="AD432" s="42">
        <v>1</v>
      </c>
      <c r="AE432" s="42">
        <v>26768274.800000001</v>
      </c>
    </row>
    <row r="433" spans="1:31" x14ac:dyDescent="0.2">
      <c r="A433" s="42" t="s">
        <v>917</v>
      </c>
      <c r="B433" s="42">
        <v>1</v>
      </c>
      <c r="C433" s="42" t="s">
        <v>368</v>
      </c>
      <c r="D433" s="42">
        <v>215</v>
      </c>
      <c r="E433" s="42" t="s">
        <v>375</v>
      </c>
      <c r="F433" s="42" t="s">
        <v>860</v>
      </c>
      <c r="G433" s="42">
        <v>11159</v>
      </c>
      <c r="H433" s="42" t="s">
        <v>861</v>
      </c>
      <c r="I433" s="42">
        <v>40538626.670000002</v>
      </c>
      <c r="J433" s="42">
        <v>40538626.670000002</v>
      </c>
      <c r="K433" s="42" t="b">
        <v>0</v>
      </c>
      <c r="L433" s="42">
        <v>4</v>
      </c>
      <c r="M433" s="42" t="s">
        <v>128</v>
      </c>
      <c r="N433" s="42">
        <v>2</v>
      </c>
      <c r="O433" s="42" t="s">
        <v>122</v>
      </c>
      <c r="P433" s="42">
        <v>14</v>
      </c>
      <c r="Q433" s="42" t="s">
        <v>323</v>
      </c>
      <c r="R433" s="42" t="s">
        <v>114</v>
      </c>
      <c r="U433" s="42" t="s">
        <v>115</v>
      </c>
      <c r="V433" s="42">
        <v>1</v>
      </c>
      <c r="W433" s="42" t="s">
        <v>116</v>
      </c>
      <c r="X433" s="42">
        <v>18</v>
      </c>
      <c r="Y433" s="42" t="s">
        <v>117</v>
      </c>
      <c r="Z433" s="42">
        <v>2844815.9070000001</v>
      </c>
      <c r="AA433" s="42">
        <v>14.25</v>
      </c>
      <c r="AB433" s="42" t="s">
        <v>36</v>
      </c>
      <c r="AC433" s="42">
        <v>1</v>
      </c>
      <c r="AD433" s="42">
        <v>1</v>
      </c>
      <c r="AE433" s="42">
        <v>40538626.670000002</v>
      </c>
    </row>
    <row r="434" spans="1:31" x14ac:dyDescent="0.2">
      <c r="A434" s="42" t="s">
        <v>917</v>
      </c>
      <c r="B434" s="42">
        <v>1</v>
      </c>
      <c r="C434" s="42" t="s">
        <v>368</v>
      </c>
      <c r="D434" s="42">
        <v>215</v>
      </c>
      <c r="E434" s="42" t="s">
        <v>375</v>
      </c>
      <c r="F434" s="42" t="s">
        <v>862</v>
      </c>
      <c r="G434" s="42">
        <v>11161</v>
      </c>
      <c r="H434" s="42" t="s">
        <v>863</v>
      </c>
      <c r="I434" s="42">
        <v>68855491.599999994</v>
      </c>
      <c r="J434" s="42">
        <v>68855491.599999994</v>
      </c>
      <c r="K434" s="42" t="b">
        <v>0</v>
      </c>
      <c r="L434" s="42">
        <v>4</v>
      </c>
      <c r="M434" s="42" t="s">
        <v>128</v>
      </c>
      <c r="N434" s="42">
        <v>1</v>
      </c>
      <c r="O434" s="42" t="s">
        <v>112</v>
      </c>
      <c r="P434" s="42">
        <v>38</v>
      </c>
      <c r="Q434" s="42" t="s">
        <v>378</v>
      </c>
      <c r="R434" s="42" t="s">
        <v>114</v>
      </c>
      <c r="U434" s="42" t="s">
        <v>115</v>
      </c>
      <c r="V434" s="42">
        <v>1</v>
      </c>
      <c r="W434" s="42" t="s">
        <v>116</v>
      </c>
      <c r="X434" s="42">
        <v>18</v>
      </c>
      <c r="Y434" s="42" t="s">
        <v>117</v>
      </c>
      <c r="Z434" s="42">
        <v>642596.42000000004</v>
      </c>
      <c r="AA434" s="42">
        <v>107.152</v>
      </c>
      <c r="AB434" s="42" t="s">
        <v>36</v>
      </c>
      <c r="AC434" s="42">
        <v>1</v>
      </c>
      <c r="AD434" s="42">
        <v>1</v>
      </c>
      <c r="AE434" s="42">
        <v>68855491.599999994</v>
      </c>
    </row>
    <row r="435" spans="1:31" x14ac:dyDescent="0.2">
      <c r="A435" s="42" t="s">
        <v>917</v>
      </c>
      <c r="B435" s="42">
        <v>1</v>
      </c>
      <c r="C435" s="42" t="s">
        <v>368</v>
      </c>
      <c r="D435" s="42">
        <v>215</v>
      </c>
      <c r="E435" s="42" t="s">
        <v>375</v>
      </c>
      <c r="F435" s="42" t="s">
        <v>864</v>
      </c>
      <c r="G435" s="42">
        <v>11163</v>
      </c>
      <c r="H435" s="42" t="s">
        <v>865</v>
      </c>
      <c r="I435" s="42">
        <v>37701378.729999997</v>
      </c>
      <c r="J435" s="42">
        <v>37701378.729999997</v>
      </c>
      <c r="K435" s="42" t="b">
        <v>0</v>
      </c>
      <c r="L435" s="42">
        <v>4</v>
      </c>
      <c r="M435" s="42" t="s">
        <v>128</v>
      </c>
      <c r="N435" s="42">
        <v>2</v>
      </c>
      <c r="O435" s="42" t="s">
        <v>122</v>
      </c>
      <c r="P435" s="42">
        <v>275</v>
      </c>
      <c r="Q435" s="42" t="s">
        <v>866</v>
      </c>
      <c r="R435" s="42" t="s">
        <v>114</v>
      </c>
      <c r="U435" s="42" t="s">
        <v>115</v>
      </c>
      <c r="V435" s="42">
        <v>1</v>
      </c>
      <c r="W435" s="42" t="s">
        <v>116</v>
      </c>
      <c r="X435" s="42">
        <v>18</v>
      </c>
      <c r="Y435" s="42" t="s">
        <v>117</v>
      </c>
      <c r="Z435" s="42">
        <v>383099.32</v>
      </c>
      <c r="AA435" s="42">
        <v>98.411500000000004</v>
      </c>
      <c r="AB435" s="42" t="s">
        <v>36</v>
      </c>
      <c r="AC435" s="42">
        <v>1</v>
      </c>
      <c r="AD435" s="42">
        <v>1</v>
      </c>
      <c r="AE435" s="42">
        <v>37701378.729999997</v>
      </c>
    </row>
    <row r="436" spans="1:31" x14ac:dyDescent="0.2">
      <c r="A436" s="42" t="s">
        <v>917</v>
      </c>
      <c r="B436" s="42">
        <v>1</v>
      </c>
      <c r="C436" s="42" t="s">
        <v>368</v>
      </c>
      <c r="D436" s="42">
        <v>215</v>
      </c>
      <c r="E436" s="42" t="s">
        <v>375</v>
      </c>
      <c r="F436" s="42" t="s">
        <v>869</v>
      </c>
      <c r="G436" s="42">
        <v>11297</v>
      </c>
      <c r="H436" s="42" t="s">
        <v>870</v>
      </c>
      <c r="I436" s="42">
        <v>29143902.870000001</v>
      </c>
      <c r="J436" s="42">
        <v>29143902.870000001</v>
      </c>
      <c r="K436" s="42" t="b">
        <v>0</v>
      </c>
      <c r="L436" s="42">
        <v>4</v>
      </c>
      <c r="M436" s="42" t="s">
        <v>128</v>
      </c>
      <c r="N436" s="42">
        <v>2</v>
      </c>
      <c r="O436" s="42" t="s">
        <v>122</v>
      </c>
      <c r="P436" s="42">
        <v>14</v>
      </c>
      <c r="Q436" s="42" t="s">
        <v>323</v>
      </c>
      <c r="R436" s="42" t="s">
        <v>114</v>
      </c>
      <c r="U436" s="42" t="s">
        <v>121</v>
      </c>
      <c r="V436" s="42">
        <v>1</v>
      </c>
      <c r="W436" s="42" t="s">
        <v>116</v>
      </c>
      <c r="X436" s="42">
        <v>18</v>
      </c>
      <c r="Y436" s="42" t="s">
        <v>117</v>
      </c>
      <c r="Z436" s="42">
        <v>34898698.200000003</v>
      </c>
      <c r="AA436" s="42">
        <v>0.83509999999999995</v>
      </c>
      <c r="AB436" s="42" t="s">
        <v>36</v>
      </c>
      <c r="AC436" s="42">
        <v>1</v>
      </c>
      <c r="AD436" s="42">
        <v>1</v>
      </c>
      <c r="AE436" s="42">
        <v>29143902.870000001</v>
      </c>
    </row>
    <row r="437" spans="1:31" x14ac:dyDescent="0.2">
      <c r="A437" s="42" t="s">
        <v>917</v>
      </c>
      <c r="B437" s="42">
        <v>1</v>
      </c>
      <c r="C437" s="42" t="s">
        <v>368</v>
      </c>
      <c r="D437" s="42">
        <v>215</v>
      </c>
      <c r="E437" s="42" t="s">
        <v>375</v>
      </c>
      <c r="F437" s="42" t="s">
        <v>871</v>
      </c>
      <c r="G437" s="42">
        <v>11395</v>
      </c>
      <c r="H437" s="42" t="s">
        <v>872</v>
      </c>
      <c r="I437" s="42">
        <v>11399211.27</v>
      </c>
      <c r="J437" s="42">
        <v>11399211.27</v>
      </c>
      <c r="K437" s="42" t="b">
        <v>0</v>
      </c>
      <c r="L437" s="42">
        <v>4</v>
      </c>
      <c r="M437" s="42" t="s">
        <v>128</v>
      </c>
      <c r="N437" s="42">
        <v>1</v>
      </c>
      <c r="O437" s="42" t="s">
        <v>112</v>
      </c>
      <c r="P437" s="42">
        <v>16</v>
      </c>
      <c r="Q437" s="42" t="s">
        <v>335</v>
      </c>
      <c r="R437" s="42" t="s">
        <v>114</v>
      </c>
      <c r="U437" s="42" t="s">
        <v>115</v>
      </c>
      <c r="V437" s="42">
        <v>1</v>
      </c>
      <c r="W437" s="42" t="s">
        <v>116</v>
      </c>
      <c r="X437" s="42">
        <v>18</v>
      </c>
      <c r="Y437" s="42" t="s">
        <v>117</v>
      </c>
      <c r="Z437" s="42">
        <v>114300.61</v>
      </c>
      <c r="AA437" s="42">
        <v>99.730099999999993</v>
      </c>
      <c r="AB437" s="42" t="s">
        <v>36</v>
      </c>
      <c r="AC437" s="42">
        <v>1</v>
      </c>
      <c r="AD437" s="42">
        <v>1</v>
      </c>
      <c r="AE437" s="42">
        <v>11399211.27</v>
      </c>
    </row>
    <row r="438" spans="1:31" x14ac:dyDescent="0.2">
      <c r="A438" s="42" t="s">
        <v>917</v>
      </c>
      <c r="B438" s="42">
        <v>1</v>
      </c>
      <c r="C438" s="42" t="s">
        <v>368</v>
      </c>
      <c r="D438" s="42">
        <v>215</v>
      </c>
      <c r="E438" s="42" t="s">
        <v>375</v>
      </c>
      <c r="F438" s="42" t="s">
        <v>897</v>
      </c>
      <c r="G438" s="42">
        <v>11652</v>
      </c>
      <c r="H438" s="42" t="s">
        <v>898</v>
      </c>
      <c r="I438" s="42">
        <v>35392200.560000002</v>
      </c>
      <c r="J438" s="42">
        <v>35392200.560000002</v>
      </c>
      <c r="K438" s="42" t="b">
        <v>0</v>
      </c>
      <c r="L438" s="42">
        <v>4</v>
      </c>
      <c r="M438" s="42" t="s">
        <v>128</v>
      </c>
      <c r="N438" s="42">
        <v>1</v>
      </c>
      <c r="O438" s="42" t="s">
        <v>112</v>
      </c>
      <c r="P438" s="42">
        <v>268</v>
      </c>
      <c r="Q438" s="42" t="s">
        <v>383</v>
      </c>
      <c r="R438" s="42" t="s">
        <v>114</v>
      </c>
      <c r="U438" s="42" t="s">
        <v>121</v>
      </c>
      <c r="V438" s="42">
        <v>1</v>
      </c>
      <c r="W438" s="42" t="s">
        <v>116</v>
      </c>
      <c r="X438" s="42">
        <v>18</v>
      </c>
      <c r="Y438" s="42" t="s">
        <v>117</v>
      </c>
      <c r="Z438" s="42">
        <v>36015264.633500002</v>
      </c>
      <c r="AA438" s="42">
        <v>0.98270000000000002</v>
      </c>
      <c r="AB438" s="42" t="s">
        <v>36</v>
      </c>
      <c r="AC438" s="42">
        <v>1</v>
      </c>
      <c r="AD438" s="42">
        <v>1</v>
      </c>
      <c r="AE438" s="42">
        <v>35392200.560000002</v>
      </c>
    </row>
    <row r="439" spans="1:31" x14ac:dyDescent="0.2">
      <c r="A439" s="42" t="s">
        <v>917</v>
      </c>
      <c r="B439" s="42">
        <v>1</v>
      </c>
      <c r="C439" s="42" t="s">
        <v>472</v>
      </c>
      <c r="D439" s="42">
        <v>219</v>
      </c>
      <c r="E439" s="42" t="s">
        <v>471</v>
      </c>
      <c r="F439" s="42" t="s">
        <v>126</v>
      </c>
      <c r="G439" s="42">
        <v>2534</v>
      </c>
      <c r="H439" s="42" t="s">
        <v>127</v>
      </c>
      <c r="I439" s="42">
        <v>3184.61</v>
      </c>
      <c r="J439" s="42">
        <v>3184.61</v>
      </c>
      <c r="K439" s="42" t="b">
        <v>0</v>
      </c>
      <c r="L439" s="42">
        <v>4</v>
      </c>
      <c r="M439" s="42" t="s">
        <v>128</v>
      </c>
      <c r="N439" s="42">
        <v>2</v>
      </c>
      <c r="O439" s="42" t="s">
        <v>122</v>
      </c>
      <c r="P439" s="42">
        <v>14</v>
      </c>
      <c r="Q439" s="42" t="s">
        <v>323</v>
      </c>
      <c r="R439" s="42" t="s">
        <v>114</v>
      </c>
      <c r="U439" s="42" t="s">
        <v>115</v>
      </c>
      <c r="V439" s="42">
        <v>1</v>
      </c>
      <c r="W439" s="42" t="s">
        <v>116</v>
      </c>
      <c r="X439" s="42">
        <v>18</v>
      </c>
      <c r="Y439" s="42" t="s">
        <v>117</v>
      </c>
      <c r="Z439" s="42">
        <v>28.98</v>
      </c>
      <c r="AA439" s="42">
        <v>109.8899</v>
      </c>
      <c r="AB439" s="42" t="s">
        <v>36</v>
      </c>
      <c r="AC439" s="42">
        <v>1</v>
      </c>
      <c r="AD439" s="42">
        <v>1</v>
      </c>
      <c r="AE439" s="42">
        <v>3184.61</v>
      </c>
    </row>
    <row r="440" spans="1:31" x14ac:dyDescent="0.2">
      <c r="A440" s="42" t="s">
        <v>917</v>
      </c>
      <c r="B440" s="42">
        <v>1</v>
      </c>
      <c r="C440" s="42" t="s">
        <v>472</v>
      </c>
      <c r="D440" s="42">
        <v>219</v>
      </c>
      <c r="E440" s="42" t="s">
        <v>471</v>
      </c>
      <c r="F440" s="42" t="s">
        <v>899</v>
      </c>
      <c r="G440" s="42">
        <v>2611</v>
      </c>
      <c r="H440" s="42" t="s">
        <v>900</v>
      </c>
      <c r="I440" s="42">
        <v>1698.97</v>
      </c>
      <c r="J440" s="42">
        <v>1703.82</v>
      </c>
      <c r="K440" s="42" t="b">
        <v>0</v>
      </c>
      <c r="L440" s="42">
        <v>4</v>
      </c>
      <c r="M440" s="42" t="s">
        <v>128</v>
      </c>
      <c r="N440" s="42">
        <v>0</v>
      </c>
      <c r="O440" s="42" t="s">
        <v>138</v>
      </c>
      <c r="P440" s="42">
        <v>14</v>
      </c>
      <c r="Q440" s="42" t="s">
        <v>323</v>
      </c>
      <c r="R440" s="42" t="s">
        <v>114</v>
      </c>
      <c r="U440" s="42" t="s">
        <v>121</v>
      </c>
      <c r="V440" s="42">
        <v>1</v>
      </c>
      <c r="W440" s="42" t="s">
        <v>116</v>
      </c>
      <c r="X440" s="42">
        <v>18</v>
      </c>
      <c r="Y440" s="42" t="s">
        <v>117</v>
      </c>
      <c r="Z440" s="42">
        <v>504.89400000000001</v>
      </c>
      <c r="AA440" s="42">
        <v>3.3746</v>
      </c>
      <c r="AB440" s="42" t="s">
        <v>36</v>
      </c>
      <c r="AC440" s="42">
        <v>1</v>
      </c>
      <c r="AD440" s="42">
        <v>1</v>
      </c>
      <c r="AE440" s="42">
        <v>1703.82</v>
      </c>
    </row>
    <row r="441" spans="1:31" x14ac:dyDescent="0.2">
      <c r="A441" s="42" t="s">
        <v>917</v>
      </c>
      <c r="B441" s="42">
        <v>1</v>
      </c>
      <c r="C441" s="42" t="s">
        <v>472</v>
      </c>
      <c r="D441" s="42">
        <v>219</v>
      </c>
      <c r="E441" s="42" t="s">
        <v>471</v>
      </c>
      <c r="F441" s="42" t="s">
        <v>132</v>
      </c>
      <c r="G441" s="42">
        <v>2856</v>
      </c>
      <c r="H441" s="42" t="s">
        <v>133</v>
      </c>
      <c r="I441" s="42">
        <v>1089.27</v>
      </c>
      <c r="J441" s="42">
        <v>1089.27</v>
      </c>
      <c r="K441" s="42" t="b">
        <v>0</v>
      </c>
      <c r="L441" s="42">
        <v>5</v>
      </c>
      <c r="M441" s="42" t="s">
        <v>108</v>
      </c>
      <c r="N441" s="42">
        <v>4</v>
      </c>
      <c r="O441" s="42" t="s">
        <v>109</v>
      </c>
      <c r="P441" s="42">
        <v>6</v>
      </c>
      <c r="Q441" s="42" t="s">
        <v>109</v>
      </c>
      <c r="R441" s="42" t="s">
        <v>114</v>
      </c>
      <c r="U441" s="42" t="s">
        <v>121</v>
      </c>
      <c r="V441" s="42">
        <v>1</v>
      </c>
      <c r="W441" s="42" t="s">
        <v>116</v>
      </c>
      <c r="X441" s="42">
        <v>18</v>
      </c>
      <c r="Y441" s="42" t="s">
        <v>117</v>
      </c>
      <c r="Z441" s="42">
        <v>314.99</v>
      </c>
      <c r="AA441" s="42">
        <v>3.4581</v>
      </c>
      <c r="AB441" s="42" t="s">
        <v>36</v>
      </c>
      <c r="AC441" s="42">
        <v>1</v>
      </c>
      <c r="AD441" s="42">
        <v>1</v>
      </c>
      <c r="AE441" s="42">
        <v>1089.27</v>
      </c>
    </row>
    <row r="442" spans="1:31" x14ac:dyDescent="0.2">
      <c r="A442" s="42" t="s">
        <v>917</v>
      </c>
      <c r="B442" s="42">
        <v>1</v>
      </c>
      <c r="C442" s="42" t="s">
        <v>472</v>
      </c>
      <c r="D442" s="42">
        <v>219</v>
      </c>
      <c r="E442" s="42" t="s">
        <v>471</v>
      </c>
      <c r="F442" s="42" t="s">
        <v>195</v>
      </c>
      <c r="G442" s="42">
        <v>2859</v>
      </c>
      <c r="H442" s="42" t="s">
        <v>280</v>
      </c>
      <c r="I442" s="42">
        <v>1582.54</v>
      </c>
      <c r="J442" s="42">
        <v>1582.54</v>
      </c>
      <c r="K442" s="42" t="b">
        <v>0</v>
      </c>
      <c r="L442" s="42">
        <v>5</v>
      </c>
      <c r="M442" s="42" t="s">
        <v>108</v>
      </c>
      <c r="N442" s="42">
        <v>2</v>
      </c>
      <c r="O442" s="42" t="s">
        <v>122</v>
      </c>
      <c r="P442" s="42">
        <v>1</v>
      </c>
      <c r="Q442" s="42" t="s">
        <v>326</v>
      </c>
      <c r="R442" s="42" t="s">
        <v>114</v>
      </c>
      <c r="U442" s="42" t="s">
        <v>121</v>
      </c>
      <c r="V442" s="42">
        <v>1</v>
      </c>
      <c r="W442" s="42" t="s">
        <v>116</v>
      </c>
      <c r="X442" s="42">
        <v>18</v>
      </c>
      <c r="Y442" s="42" t="s">
        <v>117</v>
      </c>
      <c r="Z442" s="42">
        <v>578.13800000000003</v>
      </c>
      <c r="AA442" s="42">
        <v>2.7372999999999998</v>
      </c>
      <c r="AB442" s="42" t="s">
        <v>36</v>
      </c>
      <c r="AC442" s="42">
        <v>1</v>
      </c>
      <c r="AD442" s="42">
        <v>1</v>
      </c>
      <c r="AE442" s="42">
        <v>1582.54</v>
      </c>
    </row>
    <row r="443" spans="1:31" x14ac:dyDescent="0.2">
      <c r="A443" s="42" t="s">
        <v>917</v>
      </c>
      <c r="B443" s="42">
        <v>1</v>
      </c>
      <c r="C443" s="42" t="s">
        <v>472</v>
      </c>
      <c r="D443" s="42">
        <v>219</v>
      </c>
      <c r="E443" s="42" t="s">
        <v>471</v>
      </c>
      <c r="F443" s="42" t="s">
        <v>194</v>
      </c>
      <c r="G443" s="42">
        <v>2906</v>
      </c>
      <c r="H443" s="42" t="s">
        <v>364</v>
      </c>
      <c r="I443" s="42">
        <v>394.12</v>
      </c>
      <c r="J443" s="42">
        <v>394.12</v>
      </c>
      <c r="K443" s="42" t="b">
        <v>0</v>
      </c>
      <c r="L443" s="42">
        <v>5</v>
      </c>
      <c r="M443" s="42" t="s">
        <v>108</v>
      </c>
      <c r="N443" s="42">
        <v>28</v>
      </c>
      <c r="O443" s="42" t="s">
        <v>120</v>
      </c>
      <c r="P443" s="42">
        <v>9</v>
      </c>
      <c r="Q443" s="42" t="s">
        <v>320</v>
      </c>
      <c r="R443" s="42" t="s">
        <v>114</v>
      </c>
      <c r="U443" s="42" t="s">
        <v>121</v>
      </c>
      <c r="V443" s="42">
        <v>1</v>
      </c>
      <c r="W443" s="42" t="s">
        <v>116</v>
      </c>
      <c r="X443" s="42">
        <v>18</v>
      </c>
      <c r="Y443" s="42" t="s">
        <v>117</v>
      </c>
      <c r="Z443" s="42">
        <v>36.798999999999999</v>
      </c>
      <c r="AA443" s="42">
        <v>10.71</v>
      </c>
      <c r="AB443" s="42" t="s">
        <v>36</v>
      </c>
      <c r="AC443" s="42">
        <v>1</v>
      </c>
      <c r="AD443" s="42">
        <v>1</v>
      </c>
      <c r="AE443" s="42">
        <v>394.12</v>
      </c>
    </row>
    <row r="444" spans="1:31" x14ac:dyDescent="0.2">
      <c r="A444" s="42" t="s">
        <v>917</v>
      </c>
      <c r="B444" s="42">
        <v>1</v>
      </c>
      <c r="C444" s="42" t="s">
        <v>472</v>
      </c>
      <c r="D444" s="42">
        <v>219</v>
      </c>
      <c r="E444" s="42" t="s">
        <v>471</v>
      </c>
      <c r="F444" s="42" t="s">
        <v>140</v>
      </c>
      <c r="G444" s="42">
        <v>2914</v>
      </c>
      <c r="H444" s="42" t="s">
        <v>141</v>
      </c>
      <c r="I444" s="42">
        <v>800.01</v>
      </c>
      <c r="J444" s="42">
        <v>800.01</v>
      </c>
      <c r="K444" s="42" t="b">
        <v>0</v>
      </c>
      <c r="L444" s="42">
        <v>5</v>
      </c>
      <c r="M444" s="42" t="s">
        <v>108</v>
      </c>
      <c r="N444" s="42">
        <v>29</v>
      </c>
      <c r="O444" s="42" t="s">
        <v>142</v>
      </c>
      <c r="P444" s="42">
        <v>3</v>
      </c>
      <c r="Q444" s="42" t="s">
        <v>325</v>
      </c>
      <c r="R444" s="42" t="s">
        <v>114</v>
      </c>
      <c r="U444" s="42" t="s">
        <v>121</v>
      </c>
      <c r="V444" s="42">
        <v>1</v>
      </c>
      <c r="W444" s="42" t="s">
        <v>116</v>
      </c>
      <c r="X444" s="42">
        <v>18</v>
      </c>
      <c r="Y444" s="42" t="s">
        <v>117</v>
      </c>
      <c r="Z444" s="42">
        <v>63.95</v>
      </c>
      <c r="AA444" s="42">
        <v>12.51</v>
      </c>
      <c r="AB444" s="42" t="s">
        <v>36</v>
      </c>
      <c r="AC444" s="42">
        <v>1</v>
      </c>
      <c r="AD444" s="42">
        <v>1</v>
      </c>
      <c r="AE444" s="42">
        <v>800.01</v>
      </c>
    </row>
    <row r="445" spans="1:31" x14ac:dyDescent="0.2">
      <c r="A445" s="42" t="s">
        <v>917</v>
      </c>
      <c r="B445" s="42">
        <v>1</v>
      </c>
      <c r="C445" s="42" t="s">
        <v>472</v>
      </c>
      <c r="D445" s="42">
        <v>219</v>
      </c>
      <c r="E445" s="42" t="s">
        <v>471</v>
      </c>
      <c r="F445" s="42" t="s">
        <v>152</v>
      </c>
      <c r="G445" s="42">
        <v>3159</v>
      </c>
      <c r="H445" s="42" t="s">
        <v>153</v>
      </c>
      <c r="I445" s="42">
        <v>394.41</v>
      </c>
      <c r="J445" s="42">
        <v>394.41</v>
      </c>
      <c r="K445" s="42" t="b">
        <v>0</v>
      </c>
      <c r="L445" s="42">
        <v>5</v>
      </c>
      <c r="M445" s="42" t="s">
        <v>108</v>
      </c>
      <c r="N445" s="42">
        <v>28</v>
      </c>
      <c r="O445" s="42" t="s">
        <v>120</v>
      </c>
      <c r="P445" s="42">
        <v>9</v>
      </c>
      <c r="Q445" s="42" t="s">
        <v>320</v>
      </c>
      <c r="R445" s="42" t="s">
        <v>114</v>
      </c>
      <c r="U445" s="42" t="s">
        <v>121</v>
      </c>
      <c r="V445" s="42">
        <v>1</v>
      </c>
      <c r="W445" s="42" t="s">
        <v>116</v>
      </c>
      <c r="X445" s="42">
        <v>18</v>
      </c>
      <c r="Y445" s="42" t="s">
        <v>117</v>
      </c>
      <c r="Z445" s="42">
        <v>373.49</v>
      </c>
      <c r="AA445" s="42">
        <v>1.056</v>
      </c>
      <c r="AB445" s="42" t="s">
        <v>36</v>
      </c>
      <c r="AC445" s="42">
        <v>1</v>
      </c>
      <c r="AD445" s="42">
        <v>1</v>
      </c>
      <c r="AE445" s="42">
        <v>394.41</v>
      </c>
    </row>
    <row r="446" spans="1:31" x14ac:dyDescent="0.2">
      <c r="A446" s="42" t="s">
        <v>917</v>
      </c>
      <c r="B446" s="42">
        <v>1</v>
      </c>
      <c r="C446" s="42" t="s">
        <v>472</v>
      </c>
      <c r="D446" s="42">
        <v>219</v>
      </c>
      <c r="E446" s="42" t="s">
        <v>471</v>
      </c>
      <c r="F446" s="42" t="s">
        <v>156</v>
      </c>
      <c r="G446" s="42">
        <v>3988</v>
      </c>
      <c r="H446" s="42" t="s">
        <v>157</v>
      </c>
      <c r="I446" s="42">
        <v>1606.57</v>
      </c>
      <c r="J446" s="42">
        <v>1606.57</v>
      </c>
      <c r="K446" s="42" t="b">
        <v>0</v>
      </c>
      <c r="L446" s="42">
        <v>4</v>
      </c>
      <c r="M446" s="42" t="s">
        <v>128</v>
      </c>
      <c r="N446" s="42">
        <v>1</v>
      </c>
      <c r="O446" s="42" t="s">
        <v>112</v>
      </c>
      <c r="P446" s="42">
        <v>250</v>
      </c>
      <c r="Q446" s="42" t="s">
        <v>334</v>
      </c>
      <c r="R446" s="42" t="s">
        <v>114</v>
      </c>
      <c r="U446" s="42" t="s">
        <v>121</v>
      </c>
      <c r="V446" s="42">
        <v>1</v>
      </c>
      <c r="W446" s="42" t="s">
        <v>116</v>
      </c>
      <c r="X446" s="42">
        <v>18</v>
      </c>
      <c r="Y446" s="42" t="s">
        <v>117</v>
      </c>
      <c r="Z446" s="42">
        <v>1314.7083</v>
      </c>
      <c r="AA446" s="42">
        <v>1.222</v>
      </c>
      <c r="AB446" s="42" t="s">
        <v>36</v>
      </c>
      <c r="AC446" s="42">
        <v>1</v>
      </c>
      <c r="AD446" s="42">
        <v>1</v>
      </c>
      <c r="AE446" s="42">
        <v>1606.57</v>
      </c>
    </row>
    <row r="447" spans="1:31" x14ac:dyDescent="0.2">
      <c r="A447" s="42" t="s">
        <v>917</v>
      </c>
      <c r="B447" s="42">
        <v>1</v>
      </c>
      <c r="C447" s="42" t="s">
        <v>472</v>
      </c>
      <c r="D447" s="42">
        <v>219</v>
      </c>
      <c r="E447" s="42" t="s">
        <v>471</v>
      </c>
      <c r="F447" s="42" t="s">
        <v>162</v>
      </c>
      <c r="G447" s="42">
        <v>6057</v>
      </c>
      <c r="H447" s="42" t="s">
        <v>163</v>
      </c>
      <c r="I447" s="42">
        <v>1605.44</v>
      </c>
      <c r="J447" s="42">
        <v>1605.44</v>
      </c>
      <c r="K447" s="42" t="b">
        <v>0</v>
      </c>
      <c r="L447" s="42">
        <v>4</v>
      </c>
      <c r="M447" s="42" t="s">
        <v>128</v>
      </c>
      <c r="N447" s="42">
        <v>1</v>
      </c>
      <c r="O447" s="42" t="s">
        <v>112</v>
      </c>
      <c r="P447" s="42">
        <v>14</v>
      </c>
      <c r="Q447" s="42" t="s">
        <v>323</v>
      </c>
      <c r="R447" s="42" t="s">
        <v>114</v>
      </c>
      <c r="U447" s="42" t="s">
        <v>121</v>
      </c>
      <c r="V447" s="42">
        <v>1</v>
      </c>
      <c r="W447" s="42" t="s">
        <v>116</v>
      </c>
      <c r="X447" s="42">
        <v>18</v>
      </c>
      <c r="Y447" s="42" t="s">
        <v>117</v>
      </c>
      <c r="Z447" s="42">
        <v>150.26</v>
      </c>
      <c r="AA447" s="42">
        <v>10.6844</v>
      </c>
      <c r="AB447" s="42" t="s">
        <v>36</v>
      </c>
      <c r="AC447" s="42">
        <v>1</v>
      </c>
      <c r="AD447" s="42">
        <v>1</v>
      </c>
      <c r="AE447" s="42">
        <v>1605.44</v>
      </c>
    </row>
    <row r="448" spans="1:31" x14ac:dyDescent="0.2">
      <c r="A448" s="42" t="s">
        <v>917</v>
      </c>
      <c r="B448" s="42">
        <v>1</v>
      </c>
      <c r="C448" s="42" t="s">
        <v>472</v>
      </c>
      <c r="D448" s="42">
        <v>219</v>
      </c>
      <c r="E448" s="42" t="s">
        <v>471</v>
      </c>
      <c r="F448" s="42" t="s">
        <v>273</v>
      </c>
      <c r="G448" s="42">
        <v>6407</v>
      </c>
      <c r="H448" s="42" t="s">
        <v>282</v>
      </c>
      <c r="I448" s="42">
        <v>1483.44</v>
      </c>
      <c r="J448" s="42">
        <v>1483.44</v>
      </c>
      <c r="K448" s="42" t="b">
        <v>0</v>
      </c>
      <c r="L448" s="42">
        <v>4</v>
      </c>
      <c r="M448" s="42" t="s">
        <v>128</v>
      </c>
      <c r="N448" s="42">
        <v>2</v>
      </c>
      <c r="O448" s="42" t="s">
        <v>122</v>
      </c>
      <c r="P448" s="42">
        <v>72</v>
      </c>
      <c r="Q448" s="42" t="s">
        <v>245</v>
      </c>
      <c r="R448" s="42" t="s">
        <v>114</v>
      </c>
      <c r="U448" s="42" t="s">
        <v>115</v>
      </c>
      <c r="V448" s="42">
        <v>1</v>
      </c>
      <c r="W448" s="42" t="s">
        <v>116</v>
      </c>
      <c r="X448" s="42">
        <v>18</v>
      </c>
      <c r="Y448" s="42" t="s">
        <v>117</v>
      </c>
      <c r="Z448" s="42">
        <v>11.25</v>
      </c>
      <c r="AA448" s="42">
        <v>131.86150000000001</v>
      </c>
      <c r="AB448" s="42" t="s">
        <v>36</v>
      </c>
      <c r="AC448" s="42">
        <v>1</v>
      </c>
      <c r="AD448" s="42">
        <v>1</v>
      </c>
      <c r="AE448" s="42">
        <v>1483.44</v>
      </c>
    </row>
    <row r="449" spans="1:31" x14ac:dyDescent="0.2">
      <c r="A449" s="42" t="s">
        <v>917</v>
      </c>
      <c r="B449" s="42">
        <v>1</v>
      </c>
      <c r="C449" s="42" t="s">
        <v>472</v>
      </c>
      <c r="D449" s="42">
        <v>219</v>
      </c>
      <c r="E449" s="42" t="s">
        <v>471</v>
      </c>
      <c r="F449" s="42" t="s">
        <v>283</v>
      </c>
      <c r="G449" s="42">
        <v>9237</v>
      </c>
      <c r="H449" s="42" t="s">
        <v>284</v>
      </c>
      <c r="I449" s="42">
        <v>1605.17</v>
      </c>
      <c r="J449" s="42">
        <v>1605.17</v>
      </c>
      <c r="K449" s="42" t="b">
        <v>0</v>
      </c>
      <c r="L449" s="42">
        <v>4</v>
      </c>
      <c r="M449" s="42" t="s">
        <v>128</v>
      </c>
      <c r="N449" s="42">
        <v>2</v>
      </c>
      <c r="O449" s="42" t="s">
        <v>122</v>
      </c>
      <c r="P449" s="42">
        <v>14</v>
      </c>
      <c r="Q449" s="42" t="s">
        <v>323</v>
      </c>
      <c r="R449" s="42" t="s">
        <v>114</v>
      </c>
      <c r="U449" s="42" t="s">
        <v>121</v>
      </c>
      <c r="V449" s="42">
        <v>1</v>
      </c>
      <c r="W449" s="42" t="s">
        <v>116</v>
      </c>
      <c r="X449" s="42">
        <v>18</v>
      </c>
      <c r="Y449" s="42" t="s">
        <v>117</v>
      </c>
      <c r="Z449" s="42">
        <v>1724.8815</v>
      </c>
      <c r="AA449" s="42">
        <v>0.93059999999999998</v>
      </c>
      <c r="AB449" s="42" t="s">
        <v>36</v>
      </c>
      <c r="AC449" s="42">
        <v>1</v>
      </c>
      <c r="AD449" s="42">
        <v>1</v>
      </c>
      <c r="AE449" s="42">
        <v>1605.17</v>
      </c>
    </row>
    <row r="450" spans="1:31" x14ac:dyDescent="0.2">
      <c r="A450" s="42" t="s">
        <v>917</v>
      </c>
      <c r="B450" s="42">
        <v>1</v>
      </c>
      <c r="C450" s="42" t="s">
        <v>472</v>
      </c>
      <c r="D450" s="42">
        <v>219</v>
      </c>
      <c r="E450" s="42" t="s">
        <v>471</v>
      </c>
      <c r="F450" s="42" t="s">
        <v>292</v>
      </c>
      <c r="G450" s="42">
        <v>9306</v>
      </c>
      <c r="H450" s="42" t="s">
        <v>293</v>
      </c>
      <c r="I450" s="42">
        <v>201.59</v>
      </c>
      <c r="J450" s="42">
        <v>201.59</v>
      </c>
      <c r="K450" s="42" t="b">
        <v>0</v>
      </c>
      <c r="L450" s="42">
        <v>5</v>
      </c>
      <c r="M450" s="42" t="s">
        <v>108</v>
      </c>
      <c r="N450" s="42">
        <v>27</v>
      </c>
      <c r="O450" s="42" t="s">
        <v>129</v>
      </c>
      <c r="P450" s="42">
        <v>10</v>
      </c>
      <c r="Q450" s="42" t="s">
        <v>129</v>
      </c>
      <c r="R450" s="42" t="s">
        <v>114</v>
      </c>
      <c r="U450" s="42" t="s">
        <v>121</v>
      </c>
      <c r="V450" s="42">
        <v>1</v>
      </c>
      <c r="W450" s="42" t="s">
        <v>116</v>
      </c>
      <c r="X450" s="42">
        <v>18</v>
      </c>
      <c r="Y450" s="42" t="s">
        <v>117</v>
      </c>
      <c r="Z450" s="42">
        <v>76</v>
      </c>
      <c r="AA450" s="42">
        <v>2.6524999999999999</v>
      </c>
      <c r="AB450" s="42" t="s">
        <v>36</v>
      </c>
      <c r="AC450" s="42">
        <v>1</v>
      </c>
      <c r="AD450" s="42">
        <v>1</v>
      </c>
      <c r="AE450" s="42">
        <v>201.59</v>
      </c>
    </row>
    <row r="451" spans="1:31" x14ac:dyDescent="0.2">
      <c r="A451" s="42" t="s">
        <v>917</v>
      </c>
      <c r="B451" s="42">
        <v>1</v>
      </c>
      <c r="C451" s="42" t="s">
        <v>472</v>
      </c>
      <c r="D451" s="42">
        <v>219</v>
      </c>
      <c r="E451" s="42" t="s">
        <v>471</v>
      </c>
      <c r="F451" s="42" t="s">
        <v>362</v>
      </c>
      <c r="G451" s="42">
        <v>10019</v>
      </c>
      <c r="H451" s="42" t="s">
        <v>363</v>
      </c>
      <c r="I451" s="42">
        <v>666.71</v>
      </c>
      <c r="J451" s="42">
        <v>666.76</v>
      </c>
      <c r="K451" s="42" t="b">
        <v>1</v>
      </c>
      <c r="L451" s="42">
        <v>5</v>
      </c>
      <c r="M451" s="42" t="s">
        <v>108</v>
      </c>
      <c r="N451" s="42">
        <v>4</v>
      </c>
      <c r="O451" s="42" t="s">
        <v>109</v>
      </c>
      <c r="P451" s="42">
        <v>6</v>
      </c>
      <c r="Q451" s="42" t="s">
        <v>109</v>
      </c>
      <c r="R451" s="42" t="s">
        <v>243</v>
      </c>
      <c r="S451" s="42">
        <v>1</v>
      </c>
      <c r="T451" s="42" t="s">
        <v>205</v>
      </c>
      <c r="U451" s="42" t="s">
        <v>115</v>
      </c>
      <c r="V451" s="42">
        <v>1</v>
      </c>
      <c r="W451" s="42" t="s">
        <v>116</v>
      </c>
      <c r="X451" s="42">
        <v>22</v>
      </c>
      <c r="Y451" s="42" t="s">
        <v>217</v>
      </c>
      <c r="Z451" s="42">
        <v>11</v>
      </c>
      <c r="AA451" s="42">
        <v>69.584999999999994</v>
      </c>
      <c r="AB451" s="42" t="s">
        <v>34</v>
      </c>
      <c r="AC451" s="42">
        <v>1.1479999999999999</v>
      </c>
      <c r="AD451" s="42">
        <v>1</v>
      </c>
      <c r="AE451" s="42">
        <v>666.76</v>
      </c>
    </row>
    <row r="452" spans="1:31" x14ac:dyDescent="0.2">
      <c r="A452" s="42" t="s">
        <v>917</v>
      </c>
      <c r="B452" s="42">
        <v>1</v>
      </c>
      <c r="C452" s="42" t="s">
        <v>472</v>
      </c>
      <c r="D452" s="42">
        <v>219</v>
      </c>
      <c r="E452" s="42" t="s">
        <v>471</v>
      </c>
      <c r="F452" s="42" t="s">
        <v>344</v>
      </c>
      <c r="G452" s="42">
        <v>10176</v>
      </c>
      <c r="H452" s="42" t="s">
        <v>345</v>
      </c>
      <c r="I452" s="42">
        <v>392.69</v>
      </c>
      <c r="J452" s="42">
        <v>392.69</v>
      </c>
      <c r="K452" s="42" t="b">
        <v>0</v>
      </c>
      <c r="L452" s="42">
        <v>5</v>
      </c>
      <c r="M452" s="42" t="s">
        <v>108</v>
      </c>
      <c r="N452" s="42">
        <v>2</v>
      </c>
      <c r="O452" s="42" t="s">
        <v>122</v>
      </c>
      <c r="P452" s="42">
        <v>2</v>
      </c>
      <c r="Q452" s="42" t="s">
        <v>322</v>
      </c>
      <c r="R452" s="42" t="s">
        <v>114</v>
      </c>
      <c r="U452" s="42" t="s">
        <v>121</v>
      </c>
      <c r="V452" s="42">
        <v>1</v>
      </c>
      <c r="W452" s="42" t="s">
        <v>116</v>
      </c>
      <c r="X452" s="42">
        <v>18</v>
      </c>
      <c r="Y452" s="42" t="s">
        <v>117</v>
      </c>
      <c r="Z452" s="42">
        <v>341.56</v>
      </c>
      <c r="AA452" s="42">
        <v>1.1496999999999999</v>
      </c>
      <c r="AB452" s="42" t="s">
        <v>36</v>
      </c>
      <c r="AC452" s="42">
        <v>1</v>
      </c>
      <c r="AD452" s="42">
        <v>1</v>
      </c>
      <c r="AE452" s="42">
        <v>392.69</v>
      </c>
    </row>
    <row r="453" spans="1:31" x14ac:dyDescent="0.2">
      <c r="A453" s="42" t="s">
        <v>917</v>
      </c>
      <c r="B453" s="42">
        <v>1</v>
      </c>
      <c r="C453" s="42" t="s">
        <v>472</v>
      </c>
      <c r="D453" s="42">
        <v>219</v>
      </c>
      <c r="E453" s="42" t="s">
        <v>471</v>
      </c>
      <c r="F453" s="42" t="s">
        <v>332</v>
      </c>
      <c r="G453" s="42">
        <v>10273</v>
      </c>
      <c r="H453" s="42" t="s">
        <v>333</v>
      </c>
      <c r="I453" s="42">
        <v>1605.09</v>
      </c>
      <c r="J453" s="42">
        <v>1605.09</v>
      </c>
      <c r="K453" s="42" t="b">
        <v>0</v>
      </c>
      <c r="L453" s="42">
        <v>4</v>
      </c>
      <c r="M453" s="42" t="s">
        <v>128</v>
      </c>
      <c r="N453" s="42">
        <v>1</v>
      </c>
      <c r="O453" s="42" t="s">
        <v>112</v>
      </c>
      <c r="P453" s="42">
        <v>31</v>
      </c>
      <c r="Q453" s="42" t="s">
        <v>330</v>
      </c>
      <c r="R453" s="42" t="s">
        <v>114</v>
      </c>
      <c r="U453" s="42" t="s">
        <v>121</v>
      </c>
      <c r="V453" s="42">
        <v>1</v>
      </c>
      <c r="W453" s="42" t="s">
        <v>116</v>
      </c>
      <c r="X453" s="42">
        <v>18</v>
      </c>
      <c r="Y453" s="42" t="s">
        <v>117</v>
      </c>
      <c r="Z453" s="42">
        <v>1497.847</v>
      </c>
      <c r="AA453" s="42">
        <v>1.0716000000000001</v>
      </c>
      <c r="AB453" s="42" t="s">
        <v>36</v>
      </c>
      <c r="AC453" s="42">
        <v>1</v>
      </c>
      <c r="AD453" s="42">
        <v>1</v>
      </c>
      <c r="AE453" s="42">
        <v>1605.09</v>
      </c>
    </row>
    <row r="454" spans="1:31" x14ac:dyDescent="0.2">
      <c r="A454" s="42" t="s">
        <v>917</v>
      </c>
      <c r="B454" s="42">
        <v>1</v>
      </c>
      <c r="C454" s="42" t="s">
        <v>474</v>
      </c>
      <c r="D454" s="42">
        <v>220</v>
      </c>
      <c r="E454" s="42" t="s">
        <v>470</v>
      </c>
      <c r="F454" s="42" t="s">
        <v>123</v>
      </c>
      <c r="G454" s="42">
        <v>2529</v>
      </c>
      <c r="H454" s="42" t="s">
        <v>124</v>
      </c>
      <c r="I454" s="42">
        <v>1607.19</v>
      </c>
      <c r="J454" s="42">
        <v>1607.19</v>
      </c>
      <c r="K454" s="42" t="b">
        <v>0</v>
      </c>
      <c r="L454" s="42">
        <v>5</v>
      </c>
      <c r="M454" s="42" t="s">
        <v>108</v>
      </c>
      <c r="N454" s="42">
        <v>2</v>
      </c>
      <c r="O454" s="42" t="s">
        <v>122</v>
      </c>
      <c r="P454" s="42">
        <v>1</v>
      </c>
      <c r="Q454" s="42" t="s">
        <v>326</v>
      </c>
      <c r="R454" s="42" t="s">
        <v>114</v>
      </c>
      <c r="U454" s="42" t="s">
        <v>121</v>
      </c>
      <c r="V454" s="42">
        <v>1</v>
      </c>
      <c r="W454" s="42" t="s">
        <v>116</v>
      </c>
      <c r="X454" s="42">
        <v>18</v>
      </c>
      <c r="Y454" s="42" t="s">
        <v>117</v>
      </c>
      <c r="Z454" s="42">
        <v>6.4817</v>
      </c>
      <c r="AA454" s="42">
        <v>247.9579</v>
      </c>
      <c r="AB454" s="42" t="s">
        <v>36</v>
      </c>
      <c r="AC454" s="42">
        <v>1</v>
      </c>
      <c r="AD454" s="42">
        <v>1</v>
      </c>
      <c r="AE454" s="42">
        <v>1607.19</v>
      </c>
    </row>
    <row r="455" spans="1:31" x14ac:dyDescent="0.2">
      <c r="A455" s="42" t="s">
        <v>917</v>
      </c>
      <c r="B455" s="42">
        <v>1</v>
      </c>
      <c r="C455" s="42" t="s">
        <v>474</v>
      </c>
      <c r="D455" s="42">
        <v>220</v>
      </c>
      <c r="E455" s="42" t="s">
        <v>470</v>
      </c>
      <c r="F455" s="42" t="s">
        <v>126</v>
      </c>
      <c r="G455" s="42">
        <v>2534</v>
      </c>
      <c r="H455" s="42" t="s">
        <v>127</v>
      </c>
      <c r="I455" s="42">
        <v>3184.61</v>
      </c>
      <c r="J455" s="42">
        <v>3184.61</v>
      </c>
      <c r="K455" s="42" t="b">
        <v>0</v>
      </c>
      <c r="L455" s="42">
        <v>4</v>
      </c>
      <c r="M455" s="42" t="s">
        <v>128</v>
      </c>
      <c r="N455" s="42">
        <v>2</v>
      </c>
      <c r="O455" s="42" t="s">
        <v>122</v>
      </c>
      <c r="P455" s="42">
        <v>14</v>
      </c>
      <c r="Q455" s="42" t="s">
        <v>323</v>
      </c>
      <c r="R455" s="42" t="s">
        <v>114</v>
      </c>
      <c r="U455" s="42" t="s">
        <v>115</v>
      </c>
      <c r="V455" s="42">
        <v>1</v>
      </c>
      <c r="W455" s="42" t="s">
        <v>116</v>
      </c>
      <c r="X455" s="42">
        <v>18</v>
      </c>
      <c r="Y455" s="42" t="s">
        <v>117</v>
      </c>
      <c r="Z455" s="42">
        <v>28.98</v>
      </c>
      <c r="AA455" s="42">
        <v>109.8899</v>
      </c>
      <c r="AB455" s="42" t="s">
        <v>36</v>
      </c>
      <c r="AC455" s="42">
        <v>1</v>
      </c>
      <c r="AD455" s="42">
        <v>1</v>
      </c>
      <c r="AE455" s="42">
        <v>3184.61</v>
      </c>
    </row>
    <row r="456" spans="1:31" x14ac:dyDescent="0.2">
      <c r="A456" s="42" t="s">
        <v>917</v>
      </c>
      <c r="B456" s="42">
        <v>1</v>
      </c>
      <c r="C456" s="42" t="s">
        <v>474</v>
      </c>
      <c r="D456" s="42">
        <v>220</v>
      </c>
      <c r="E456" s="42" t="s">
        <v>470</v>
      </c>
      <c r="F456" s="42" t="s">
        <v>899</v>
      </c>
      <c r="G456" s="42">
        <v>2611</v>
      </c>
      <c r="H456" s="42" t="s">
        <v>900</v>
      </c>
      <c r="I456" s="42">
        <v>1299.21</v>
      </c>
      <c r="J456" s="42">
        <v>1302.92</v>
      </c>
      <c r="K456" s="42" t="b">
        <v>0</v>
      </c>
      <c r="L456" s="42">
        <v>4</v>
      </c>
      <c r="M456" s="42" t="s">
        <v>128</v>
      </c>
      <c r="N456" s="42">
        <v>0</v>
      </c>
      <c r="O456" s="42" t="s">
        <v>138</v>
      </c>
      <c r="P456" s="42">
        <v>14</v>
      </c>
      <c r="Q456" s="42" t="s">
        <v>323</v>
      </c>
      <c r="R456" s="42" t="s">
        <v>114</v>
      </c>
      <c r="U456" s="42" t="s">
        <v>121</v>
      </c>
      <c r="V456" s="42">
        <v>1</v>
      </c>
      <c r="W456" s="42" t="s">
        <v>116</v>
      </c>
      <c r="X456" s="42">
        <v>18</v>
      </c>
      <c r="Y456" s="42" t="s">
        <v>117</v>
      </c>
      <c r="Z456" s="42">
        <v>386.09500000000003</v>
      </c>
      <c r="AA456" s="42">
        <v>3.3746</v>
      </c>
      <c r="AB456" s="42" t="s">
        <v>36</v>
      </c>
      <c r="AC456" s="42">
        <v>1</v>
      </c>
      <c r="AD456" s="42">
        <v>1</v>
      </c>
      <c r="AE456" s="42">
        <v>1302.92</v>
      </c>
    </row>
    <row r="457" spans="1:31" x14ac:dyDescent="0.2">
      <c r="A457" s="42" t="s">
        <v>917</v>
      </c>
      <c r="B457" s="42">
        <v>1</v>
      </c>
      <c r="C457" s="42" t="s">
        <v>474</v>
      </c>
      <c r="D457" s="42">
        <v>220</v>
      </c>
      <c r="E457" s="42" t="s">
        <v>470</v>
      </c>
      <c r="F457" s="42" t="s">
        <v>132</v>
      </c>
      <c r="G457" s="42">
        <v>2856</v>
      </c>
      <c r="H457" s="42" t="s">
        <v>133</v>
      </c>
      <c r="I457" s="42">
        <v>1584.36</v>
      </c>
      <c r="J457" s="42">
        <v>1584.36</v>
      </c>
      <c r="K457" s="42" t="b">
        <v>0</v>
      </c>
      <c r="L457" s="42">
        <v>5</v>
      </c>
      <c r="M457" s="42" t="s">
        <v>108</v>
      </c>
      <c r="N457" s="42">
        <v>4</v>
      </c>
      <c r="O457" s="42" t="s">
        <v>109</v>
      </c>
      <c r="P457" s="42">
        <v>6</v>
      </c>
      <c r="Q457" s="42" t="s">
        <v>109</v>
      </c>
      <c r="R457" s="42" t="s">
        <v>114</v>
      </c>
      <c r="U457" s="42" t="s">
        <v>121</v>
      </c>
      <c r="V457" s="42">
        <v>1</v>
      </c>
      <c r="W457" s="42" t="s">
        <v>116</v>
      </c>
      <c r="X457" s="42">
        <v>18</v>
      </c>
      <c r="Y457" s="42" t="s">
        <v>117</v>
      </c>
      <c r="Z457" s="42">
        <v>458.16</v>
      </c>
      <c r="AA457" s="42">
        <v>3.4581</v>
      </c>
      <c r="AB457" s="42" t="s">
        <v>36</v>
      </c>
      <c r="AC457" s="42">
        <v>1</v>
      </c>
      <c r="AD457" s="42">
        <v>1</v>
      </c>
      <c r="AE457" s="42">
        <v>1584.36</v>
      </c>
    </row>
    <row r="458" spans="1:31" x14ac:dyDescent="0.2">
      <c r="A458" s="42" t="s">
        <v>917</v>
      </c>
      <c r="B458" s="42">
        <v>1</v>
      </c>
      <c r="C458" s="42" t="s">
        <v>474</v>
      </c>
      <c r="D458" s="42">
        <v>220</v>
      </c>
      <c r="E458" s="42" t="s">
        <v>470</v>
      </c>
      <c r="F458" s="42" t="s">
        <v>195</v>
      </c>
      <c r="G458" s="42">
        <v>2859</v>
      </c>
      <c r="H458" s="42" t="s">
        <v>280</v>
      </c>
      <c r="I458" s="42">
        <v>791.27</v>
      </c>
      <c r="J458" s="42">
        <v>791.27</v>
      </c>
      <c r="K458" s="42" t="b">
        <v>0</v>
      </c>
      <c r="L458" s="42">
        <v>5</v>
      </c>
      <c r="M458" s="42" t="s">
        <v>108</v>
      </c>
      <c r="N458" s="42">
        <v>2</v>
      </c>
      <c r="O458" s="42" t="s">
        <v>122</v>
      </c>
      <c r="P458" s="42">
        <v>1</v>
      </c>
      <c r="Q458" s="42" t="s">
        <v>326</v>
      </c>
      <c r="R458" s="42" t="s">
        <v>114</v>
      </c>
      <c r="U458" s="42" t="s">
        <v>121</v>
      </c>
      <c r="V458" s="42">
        <v>1</v>
      </c>
      <c r="W458" s="42" t="s">
        <v>116</v>
      </c>
      <c r="X458" s="42">
        <v>18</v>
      </c>
      <c r="Y458" s="42" t="s">
        <v>117</v>
      </c>
      <c r="Z458" s="42">
        <v>289.06900000000002</v>
      </c>
      <c r="AA458" s="42">
        <v>2.7372999999999998</v>
      </c>
      <c r="AB458" s="42" t="s">
        <v>36</v>
      </c>
      <c r="AC458" s="42">
        <v>1</v>
      </c>
      <c r="AD458" s="42">
        <v>1</v>
      </c>
      <c r="AE458" s="42">
        <v>791.27</v>
      </c>
    </row>
    <row r="459" spans="1:31" x14ac:dyDescent="0.2">
      <c r="A459" s="42" t="s">
        <v>917</v>
      </c>
      <c r="B459" s="42">
        <v>1</v>
      </c>
      <c r="C459" s="42" t="s">
        <v>474</v>
      </c>
      <c r="D459" s="42">
        <v>220</v>
      </c>
      <c r="E459" s="42" t="s">
        <v>470</v>
      </c>
      <c r="F459" s="42" t="s">
        <v>194</v>
      </c>
      <c r="G459" s="42">
        <v>2906</v>
      </c>
      <c r="H459" s="42" t="s">
        <v>364</v>
      </c>
      <c r="I459" s="42">
        <v>689.69</v>
      </c>
      <c r="J459" s="42">
        <v>689.69</v>
      </c>
      <c r="K459" s="42" t="b">
        <v>0</v>
      </c>
      <c r="L459" s="42">
        <v>5</v>
      </c>
      <c r="M459" s="42" t="s">
        <v>108</v>
      </c>
      <c r="N459" s="42">
        <v>28</v>
      </c>
      <c r="O459" s="42" t="s">
        <v>120</v>
      </c>
      <c r="P459" s="42">
        <v>9</v>
      </c>
      <c r="Q459" s="42" t="s">
        <v>320</v>
      </c>
      <c r="R459" s="42" t="s">
        <v>114</v>
      </c>
      <c r="U459" s="42" t="s">
        <v>121</v>
      </c>
      <c r="V459" s="42">
        <v>1</v>
      </c>
      <c r="W459" s="42" t="s">
        <v>116</v>
      </c>
      <c r="X459" s="42">
        <v>18</v>
      </c>
      <c r="Y459" s="42" t="s">
        <v>117</v>
      </c>
      <c r="Z459" s="42">
        <v>64.397000000000006</v>
      </c>
      <c r="AA459" s="42">
        <v>10.71</v>
      </c>
      <c r="AB459" s="42" t="s">
        <v>36</v>
      </c>
      <c r="AC459" s="42">
        <v>1</v>
      </c>
      <c r="AD459" s="42">
        <v>1</v>
      </c>
      <c r="AE459" s="42">
        <v>689.69</v>
      </c>
    </row>
    <row r="460" spans="1:31" x14ac:dyDescent="0.2">
      <c r="A460" s="42" t="s">
        <v>917</v>
      </c>
      <c r="B460" s="42">
        <v>1</v>
      </c>
      <c r="C460" s="42" t="s">
        <v>474</v>
      </c>
      <c r="D460" s="42">
        <v>220</v>
      </c>
      <c r="E460" s="42" t="s">
        <v>470</v>
      </c>
      <c r="F460" s="42" t="s">
        <v>140</v>
      </c>
      <c r="G460" s="42">
        <v>2914</v>
      </c>
      <c r="H460" s="42" t="s">
        <v>141</v>
      </c>
      <c r="I460" s="42">
        <v>1000.05</v>
      </c>
      <c r="J460" s="42">
        <v>1000.05</v>
      </c>
      <c r="K460" s="42" t="b">
        <v>0</v>
      </c>
      <c r="L460" s="42">
        <v>5</v>
      </c>
      <c r="M460" s="42" t="s">
        <v>108</v>
      </c>
      <c r="N460" s="42">
        <v>29</v>
      </c>
      <c r="O460" s="42" t="s">
        <v>142</v>
      </c>
      <c r="P460" s="42">
        <v>3</v>
      </c>
      <c r="Q460" s="42" t="s">
        <v>325</v>
      </c>
      <c r="R460" s="42" t="s">
        <v>114</v>
      </c>
      <c r="U460" s="42" t="s">
        <v>121</v>
      </c>
      <c r="V460" s="42">
        <v>1</v>
      </c>
      <c r="W460" s="42" t="s">
        <v>116</v>
      </c>
      <c r="X460" s="42">
        <v>18</v>
      </c>
      <c r="Y460" s="42" t="s">
        <v>117</v>
      </c>
      <c r="Z460" s="42">
        <v>79.94</v>
      </c>
      <c r="AA460" s="42">
        <v>12.51</v>
      </c>
      <c r="AB460" s="42" t="s">
        <v>36</v>
      </c>
      <c r="AC460" s="42">
        <v>1</v>
      </c>
      <c r="AD460" s="42">
        <v>1</v>
      </c>
      <c r="AE460" s="42">
        <v>1000.05</v>
      </c>
    </row>
    <row r="461" spans="1:31" x14ac:dyDescent="0.2">
      <c r="A461" s="42" t="s">
        <v>917</v>
      </c>
      <c r="B461" s="42">
        <v>1</v>
      </c>
      <c r="C461" s="42" t="s">
        <v>474</v>
      </c>
      <c r="D461" s="42">
        <v>220</v>
      </c>
      <c r="E461" s="42" t="s">
        <v>470</v>
      </c>
      <c r="F461" s="42" t="s">
        <v>152</v>
      </c>
      <c r="G461" s="42">
        <v>3159</v>
      </c>
      <c r="H461" s="42" t="s">
        <v>153</v>
      </c>
      <c r="I461" s="42">
        <v>887.4</v>
      </c>
      <c r="J461" s="42">
        <v>887.4</v>
      </c>
      <c r="K461" s="42" t="b">
        <v>0</v>
      </c>
      <c r="L461" s="42">
        <v>5</v>
      </c>
      <c r="M461" s="42" t="s">
        <v>108</v>
      </c>
      <c r="N461" s="42">
        <v>28</v>
      </c>
      <c r="O461" s="42" t="s">
        <v>120</v>
      </c>
      <c r="P461" s="42">
        <v>9</v>
      </c>
      <c r="Q461" s="42" t="s">
        <v>320</v>
      </c>
      <c r="R461" s="42" t="s">
        <v>114</v>
      </c>
      <c r="U461" s="42" t="s">
        <v>121</v>
      </c>
      <c r="V461" s="42">
        <v>1</v>
      </c>
      <c r="W461" s="42" t="s">
        <v>116</v>
      </c>
      <c r="X461" s="42">
        <v>18</v>
      </c>
      <c r="Y461" s="42" t="s">
        <v>117</v>
      </c>
      <c r="Z461" s="42">
        <v>840.34</v>
      </c>
      <c r="AA461" s="42">
        <v>1.056</v>
      </c>
      <c r="AB461" s="42" t="s">
        <v>36</v>
      </c>
      <c r="AC461" s="42">
        <v>1</v>
      </c>
      <c r="AD461" s="42">
        <v>1</v>
      </c>
      <c r="AE461" s="42">
        <v>887.4</v>
      </c>
    </row>
    <row r="462" spans="1:31" x14ac:dyDescent="0.2">
      <c r="A462" s="42" t="s">
        <v>917</v>
      </c>
      <c r="B462" s="42">
        <v>1</v>
      </c>
      <c r="C462" s="42" t="s">
        <v>474</v>
      </c>
      <c r="D462" s="42">
        <v>220</v>
      </c>
      <c r="E462" s="42" t="s">
        <v>470</v>
      </c>
      <c r="F462" s="42" t="s">
        <v>156</v>
      </c>
      <c r="G462" s="42">
        <v>3988</v>
      </c>
      <c r="H462" s="42" t="s">
        <v>157</v>
      </c>
      <c r="I462" s="42">
        <v>1305.3399999999999</v>
      </c>
      <c r="J462" s="42">
        <v>1305.3399999999999</v>
      </c>
      <c r="K462" s="42" t="b">
        <v>0</v>
      </c>
      <c r="L462" s="42">
        <v>4</v>
      </c>
      <c r="M462" s="42" t="s">
        <v>128</v>
      </c>
      <c r="N462" s="42">
        <v>1</v>
      </c>
      <c r="O462" s="42" t="s">
        <v>112</v>
      </c>
      <c r="P462" s="42">
        <v>250</v>
      </c>
      <c r="Q462" s="42" t="s">
        <v>334</v>
      </c>
      <c r="R462" s="42" t="s">
        <v>114</v>
      </c>
      <c r="U462" s="42" t="s">
        <v>121</v>
      </c>
      <c r="V462" s="42">
        <v>1</v>
      </c>
      <c r="W462" s="42" t="s">
        <v>116</v>
      </c>
      <c r="X462" s="42">
        <v>18</v>
      </c>
      <c r="Y462" s="42" t="s">
        <v>117</v>
      </c>
      <c r="Z462" s="42">
        <v>1068.2004999999999</v>
      </c>
      <c r="AA462" s="42">
        <v>1.222</v>
      </c>
      <c r="AB462" s="42" t="s">
        <v>36</v>
      </c>
      <c r="AC462" s="42">
        <v>1</v>
      </c>
      <c r="AD462" s="42">
        <v>1</v>
      </c>
      <c r="AE462" s="42">
        <v>1305.3399999999999</v>
      </c>
    </row>
    <row r="463" spans="1:31" x14ac:dyDescent="0.2">
      <c r="A463" s="42" t="s">
        <v>917</v>
      </c>
      <c r="B463" s="42">
        <v>1</v>
      </c>
      <c r="C463" s="42" t="s">
        <v>474</v>
      </c>
      <c r="D463" s="42">
        <v>220</v>
      </c>
      <c r="E463" s="42" t="s">
        <v>470</v>
      </c>
      <c r="F463" s="42" t="s">
        <v>273</v>
      </c>
      <c r="G463" s="42">
        <v>6407</v>
      </c>
      <c r="H463" s="42" t="s">
        <v>282</v>
      </c>
      <c r="I463" s="42">
        <v>1384.55</v>
      </c>
      <c r="J463" s="42">
        <v>1384.55</v>
      </c>
      <c r="K463" s="42" t="b">
        <v>0</v>
      </c>
      <c r="L463" s="42">
        <v>4</v>
      </c>
      <c r="M463" s="42" t="s">
        <v>128</v>
      </c>
      <c r="N463" s="42">
        <v>2</v>
      </c>
      <c r="O463" s="42" t="s">
        <v>122</v>
      </c>
      <c r="P463" s="42">
        <v>72</v>
      </c>
      <c r="Q463" s="42" t="s">
        <v>245</v>
      </c>
      <c r="R463" s="42" t="s">
        <v>114</v>
      </c>
      <c r="U463" s="42" t="s">
        <v>115</v>
      </c>
      <c r="V463" s="42">
        <v>1</v>
      </c>
      <c r="W463" s="42" t="s">
        <v>116</v>
      </c>
      <c r="X463" s="42">
        <v>18</v>
      </c>
      <c r="Y463" s="42" t="s">
        <v>117</v>
      </c>
      <c r="Z463" s="42">
        <v>10.5</v>
      </c>
      <c r="AA463" s="42">
        <v>131.86150000000001</v>
      </c>
      <c r="AB463" s="42" t="s">
        <v>36</v>
      </c>
      <c r="AC463" s="42">
        <v>1</v>
      </c>
      <c r="AD463" s="42">
        <v>1</v>
      </c>
      <c r="AE463" s="42">
        <v>1384.55</v>
      </c>
    </row>
    <row r="464" spans="1:31" x14ac:dyDescent="0.2">
      <c r="A464" s="42" t="s">
        <v>917</v>
      </c>
      <c r="B464" s="42">
        <v>1</v>
      </c>
      <c r="C464" s="42" t="s">
        <v>474</v>
      </c>
      <c r="D464" s="42">
        <v>220</v>
      </c>
      <c r="E464" s="42" t="s">
        <v>470</v>
      </c>
      <c r="F464" s="42" t="s">
        <v>283</v>
      </c>
      <c r="G464" s="42">
        <v>9237</v>
      </c>
      <c r="H464" s="42" t="s">
        <v>284</v>
      </c>
      <c r="I464" s="42">
        <v>1304.2</v>
      </c>
      <c r="J464" s="42">
        <v>1304.2</v>
      </c>
      <c r="K464" s="42" t="b">
        <v>0</v>
      </c>
      <c r="L464" s="42">
        <v>4</v>
      </c>
      <c r="M464" s="42" t="s">
        <v>128</v>
      </c>
      <c r="N464" s="42">
        <v>2</v>
      </c>
      <c r="O464" s="42" t="s">
        <v>122</v>
      </c>
      <c r="P464" s="42">
        <v>14</v>
      </c>
      <c r="Q464" s="42" t="s">
        <v>323</v>
      </c>
      <c r="R464" s="42" t="s">
        <v>114</v>
      </c>
      <c r="U464" s="42" t="s">
        <v>121</v>
      </c>
      <c r="V464" s="42">
        <v>1</v>
      </c>
      <c r="W464" s="42" t="s">
        <v>116</v>
      </c>
      <c r="X464" s="42">
        <v>18</v>
      </c>
      <c r="Y464" s="42" t="s">
        <v>117</v>
      </c>
      <c r="Z464" s="42">
        <v>1401.4662000000001</v>
      </c>
      <c r="AA464" s="42">
        <v>0.93059999999999998</v>
      </c>
      <c r="AB464" s="42" t="s">
        <v>36</v>
      </c>
      <c r="AC464" s="42">
        <v>1</v>
      </c>
      <c r="AD464" s="42">
        <v>1</v>
      </c>
      <c r="AE464" s="42">
        <v>1304.2</v>
      </c>
    </row>
    <row r="465" spans="1:31" x14ac:dyDescent="0.2">
      <c r="A465" s="42" t="s">
        <v>917</v>
      </c>
      <c r="B465" s="42">
        <v>1</v>
      </c>
      <c r="C465" s="42" t="s">
        <v>474</v>
      </c>
      <c r="D465" s="42">
        <v>220</v>
      </c>
      <c r="E465" s="42" t="s">
        <v>470</v>
      </c>
      <c r="F465" s="42" t="s">
        <v>292</v>
      </c>
      <c r="G465" s="42">
        <v>9306</v>
      </c>
      <c r="H465" s="42" t="s">
        <v>293</v>
      </c>
      <c r="I465" s="42">
        <v>604.77</v>
      </c>
      <c r="J465" s="42">
        <v>604.77</v>
      </c>
      <c r="K465" s="42" t="b">
        <v>0</v>
      </c>
      <c r="L465" s="42">
        <v>5</v>
      </c>
      <c r="M465" s="42" t="s">
        <v>108</v>
      </c>
      <c r="N465" s="42">
        <v>27</v>
      </c>
      <c r="O465" s="42" t="s">
        <v>129</v>
      </c>
      <c r="P465" s="42">
        <v>10</v>
      </c>
      <c r="Q465" s="42" t="s">
        <v>129</v>
      </c>
      <c r="R465" s="42" t="s">
        <v>114</v>
      </c>
      <c r="U465" s="42" t="s">
        <v>121</v>
      </c>
      <c r="V465" s="42">
        <v>1</v>
      </c>
      <c r="W465" s="42" t="s">
        <v>116</v>
      </c>
      <c r="X465" s="42">
        <v>18</v>
      </c>
      <c r="Y465" s="42" t="s">
        <v>117</v>
      </c>
      <c r="Z465" s="42">
        <v>228.001</v>
      </c>
      <c r="AA465" s="42">
        <v>2.6524999999999999</v>
      </c>
      <c r="AB465" s="42" t="s">
        <v>36</v>
      </c>
      <c r="AC465" s="42">
        <v>1</v>
      </c>
      <c r="AD465" s="42">
        <v>1</v>
      </c>
      <c r="AE465" s="42">
        <v>604.77</v>
      </c>
    </row>
    <row r="466" spans="1:31" x14ac:dyDescent="0.2">
      <c r="A466" s="42" t="s">
        <v>917</v>
      </c>
      <c r="B466" s="42">
        <v>1</v>
      </c>
      <c r="C466" s="42" t="s">
        <v>474</v>
      </c>
      <c r="D466" s="42">
        <v>220</v>
      </c>
      <c r="E466" s="42" t="s">
        <v>470</v>
      </c>
      <c r="F466" s="42" t="s">
        <v>362</v>
      </c>
      <c r="G466" s="42">
        <v>10019</v>
      </c>
      <c r="H466" s="42" t="s">
        <v>363</v>
      </c>
      <c r="I466" s="42">
        <v>1090.98</v>
      </c>
      <c r="J466" s="42">
        <v>1091.06</v>
      </c>
      <c r="K466" s="42" t="b">
        <v>1</v>
      </c>
      <c r="L466" s="42">
        <v>5</v>
      </c>
      <c r="M466" s="42" t="s">
        <v>108</v>
      </c>
      <c r="N466" s="42">
        <v>4</v>
      </c>
      <c r="O466" s="42" t="s">
        <v>109</v>
      </c>
      <c r="P466" s="42">
        <v>6</v>
      </c>
      <c r="Q466" s="42" t="s">
        <v>109</v>
      </c>
      <c r="R466" s="42" t="s">
        <v>243</v>
      </c>
      <c r="S466" s="42">
        <v>1</v>
      </c>
      <c r="T466" s="42" t="s">
        <v>205</v>
      </c>
      <c r="U466" s="42" t="s">
        <v>115</v>
      </c>
      <c r="V466" s="42">
        <v>1</v>
      </c>
      <c r="W466" s="42" t="s">
        <v>116</v>
      </c>
      <c r="X466" s="42">
        <v>22</v>
      </c>
      <c r="Y466" s="42" t="s">
        <v>217</v>
      </c>
      <c r="Z466" s="42">
        <v>18</v>
      </c>
      <c r="AA466" s="42">
        <v>69.584999999999994</v>
      </c>
      <c r="AB466" s="42" t="s">
        <v>34</v>
      </c>
      <c r="AC466" s="42">
        <v>1.1479999999999999</v>
      </c>
      <c r="AD466" s="42">
        <v>1</v>
      </c>
      <c r="AE466" s="42">
        <v>1091.05</v>
      </c>
    </row>
    <row r="467" spans="1:31" x14ac:dyDescent="0.2">
      <c r="A467" s="42" t="s">
        <v>917</v>
      </c>
      <c r="B467" s="42">
        <v>1</v>
      </c>
      <c r="C467" s="42" t="s">
        <v>474</v>
      </c>
      <c r="D467" s="42">
        <v>220</v>
      </c>
      <c r="E467" s="42" t="s">
        <v>470</v>
      </c>
      <c r="F467" s="42" t="s">
        <v>344</v>
      </c>
      <c r="G467" s="42">
        <v>10176</v>
      </c>
      <c r="H467" s="42" t="s">
        <v>345</v>
      </c>
      <c r="I467" s="42">
        <v>589.04</v>
      </c>
      <c r="J467" s="42">
        <v>589.04</v>
      </c>
      <c r="K467" s="42" t="b">
        <v>0</v>
      </c>
      <c r="L467" s="42">
        <v>5</v>
      </c>
      <c r="M467" s="42" t="s">
        <v>108</v>
      </c>
      <c r="N467" s="42">
        <v>2</v>
      </c>
      <c r="O467" s="42" t="s">
        <v>122</v>
      </c>
      <c r="P467" s="42">
        <v>2</v>
      </c>
      <c r="Q467" s="42" t="s">
        <v>322</v>
      </c>
      <c r="R467" s="42" t="s">
        <v>114</v>
      </c>
      <c r="U467" s="42" t="s">
        <v>121</v>
      </c>
      <c r="V467" s="42">
        <v>1</v>
      </c>
      <c r="W467" s="42" t="s">
        <v>116</v>
      </c>
      <c r="X467" s="42">
        <v>18</v>
      </c>
      <c r="Y467" s="42" t="s">
        <v>117</v>
      </c>
      <c r="Z467" s="42">
        <v>512.34</v>
      </c>
      <c r="AA467" s="42">
        <v>1.1496999999999999</v>
      </c>
      <c r="AB467" s="42" t="s">
        <v>36</v>
      </c>
      <c r="AC467" s="42">
        <v>1</v>
      </c>
      <c r="AD467" s="42">
        <v>1</v>
      </c>
      <c r="AE467" s="42">
        <v>589.04</v>
      </c>
    </row>
    <row r="468" spans="1:31" x14ac:dyDescent="0.2">
      <c r="A468" s="42" t="s">
        <v>917</v>
      </c>
      <c r="B468" s="42">
        <v>1</v>
      </c>
      <c r="C468" s="42" t="s">
        <v>474</v>
      </c>
      <c r="D468" s="42">
        <v>220</v>
      </c>
      <c r="E468" s="42" t="s">
        <v>470</v>
      </c>
      <c r="F468" s="42" t="s">
        <v>332</v>
      </c>
      <c r="G468" s="42">
        <v>10273</v>
      </c>
      <c r="H468" s="42" t="s">
        <v>333</v>
      </c>
      <c r="I468" s="42">
        <v>1605.09</v>
      </c>
      <c r="J468" s="42">
        <v>1605.09</v>
      </c>
      <c r="K468" s="42" t="b">
        <v>0</v>
      </c>
      <c r="L468" s="42">
        <v>4</v>
      </c>
      <c r="M468" s="42" t="s">
        <v>128</v>
      </c>
      <c r="N468" s="42">
        <v>1</v>
      </c>
      <c r="O468" s="42" t="s">
        <v>112</v>
      </c>
      <c r="P468" s="42">
        <v>31</v>
      </c>
      <c r="Q468" s="42" t="s">
        <v>330</v>
      </c>
      <c r="R468" s="42" t="s">
        <v>114</v>
      </c>
      <c r="U468" s="42" t="s">
        <v>121</v>
      </c>
      <c r="V468" s="42">
        <v>1</v>
      </c>
      <c r="W468" s="42" t="s">
        <v>116</v>
      </c>
      <c r="X468" s="42">
        <v>18</v>
      </c>
      <c r="Y468" s="42" t="s">
        <v>117</v>
      </c>
      <c r="Z468" s="42">
        <v>1497.847</v>
      </c>
      <c r="AA468" s="42">
        <v>1.0716000000000001</v>
      </c>
      <c r="AB468" s="42" t="s">
        <v>36</v>
      </c>
      <c r="AC468" s="42">
        <v>1</v>
      </c>
      <c r="AD468" s="42">
        <v>1</v>
      </c>
      <c r="AE468" s="42">
        <v>1605.09</v>
      </c>
    </row>
    <row r="469" spans="1:31" x14ac:dyDescent="0.2">
      <c r="A469" s="42" t="s">
        <v>917</v>
      </c>
      <c r="B469" s="42">
        <v>1</v>
      </c>
      <c r="C469" s="42" t="s">
        <v>476</v>
      </c>
      <c r="D469" s="42">
        <v>221</v>
      </c>
      <c r="E469" s="42" t="s">
        <v>469</v>
      </c>
      <c r="F469" s="42" t="s">
        <v>899</v>
      </c>
      <c r="G469" s="42">
        <v>2611</v>
      </c>
      <c r="H469" s="42" t="s">
        <v>900</v>
      </c>
      <c r="I469" s="42">
        <v>599.64</v>
      </c>
      <c r="J469" s="42">
        <v>601.35</v>
      </c>
      <c r="K469" s="42" t="b">
        <v>0</v>
      </c>
      <c r="L469" s="42">
        <v>4</v>
      </c>
      <c r="M469" s="42" t="s">
        <v>128</v>
      </c>
      <c r="N469" s="42">
        <v>0</v>
      </c>
      <c r="O469" s="42" t="s">
        <v>138</v>
      </c>
      <c r="P469" s="42">
        <v>14</v>
      </c>
      <c r="Q469" s="42" t="s">
        <v>323</v>
      </c>
      <c r="R469" s="42" t="s">
        <v>114</v>
      </c>
      <c r="U469" s="42" t="s">
        <v>121</v>
      </c>
      <c r="V469" s="42">
        <v>1</v>
      </c>
      <c r="W469" s="42" t="s">
        <v>116</v>
      </c>
      <c r="X469" s="42">
        <v>18</v>
      </c>
      <c r="Y469" s="42" t="s">
        <v>117</v>
      </c>
      <c r="Z469" s="42">
        <v>178.19800000000001</v>
      </c>
      <c r="AA469" s="42">
        <v>3.3746</v>
      </c>
      <c r="AB469" s="42" t="s">
        <v>36</v>
      </c>
      <c r="AC469" s="42">
        <v>1</v>
      </c>
      <c r="AD469" s="42">
        <v>1</v>
      </c>
      <c r="AE469" s="42">
        <v>601.35</v>
      </c>
    </row>
    <row r="470" spans="1:31" x14ac:dyDescent="0.2">
      <c r="A470" s="42" t="s">
        <v>917</v>
      </c>
      <c r="B470" s="42">
        <v>1</v>
      </c>
      <c r="C470" s="42" t="s">
        <v>476</v>
      </c>
      <c r="D470" s="42">
        <v>221</v>
      </c>
      <c r="E470" s="42" t="s">
        <v>469</v>
      </c>
      <c r="F470" s="42" t="s">
        <v>130</v>
      </c>
      <c r="G470" s="42">
        <v>2643</v>
      </c>
      <c r="H470" s="42" t="s">
        <v>131</v>
      </c>
      <c r="I470" s="42">
        <v>398.52</v>
      </c>
      <c r="J470" s="42">
        <v>398.52</v>
      </c>
      <c r="K470" s="42" t="b">
        <v>0</v>
      </c>
      <c r="L470" s="42">
        <v>5</v>
      </c>
      <c r="M470" s="42" t="s">
        <v>108</v>
      </c>
      <c r="N470" s="42">
        <v>28</v>
      </c>
      <c r="O470" s="42" t="s">
        <v>120</v>
      </c>
      <c r="P470" s="42">
        <v>9</v>
      </c>
      <c r="Q470" s="42" t="s">
        <v>320</v>
      </c>
      <c r="R470" s="42" t="s">
        <v>114</v>
      </c>
      <c r="U470" s="42" t="s">
        <v>121</v>
      </c>
      <c r="V470" s="42">
        <v>1</v>
      </c>
      <c r="W470" s="42" t="s">
        <v>116</v>
      </c>
      <c r="X470" s="42">
        <v>18</v>
      </c>
      <c r="Y470" s="42" t="s">
        <v>117</v>
      </c>
      <c r="Z470" s="42">
        <v>19.28</v>
      </c>
      <c r="AA470" s="42">
        <v>20.67</v>
      </c>
      <c r="AB470" s="42" t="s">
        <v>36</v>
      </c>
      <c r="AC470" s="42">
        <v>1</v>
      </c>
      <c r="AD470" s="42">
        <v>1</v>
      </c>
      <c r="AE470" s="42">
        <v>398.52</v>
      </c>
    </row>
    <row r="471" spans="1:31" x14ac:dyDescent="0.2">
      <c r="A471" s="42" t="s">
        <v>917</v>
      </c>
      <c r="B471" s="42">
        <v>1</v>
      </c>
      <c r="C471" s="42" t="s">
        <v>476</v>
      </c>
      <c r="D471" s="42">
        <v>221</v>
      </c>
      <c r="E471" s="42" t="s">
        <v>469</v>
      </c>
      <c r="F471" s="42" t="s">
        <v>132</v>
      </c>
      <c r="G471" s="42">
        <v>2856</v>
      </c>
      <c r="H471" s="42" t="s">
        <v>133</v>
      </c>
      <c r="I471" s="42">
        <v>990.23</v>
      </c>
      <c r="J471" s="42">
        <v>990.23</v>
      </c>
      <c r="K471" s="42" t="b">
        <v>0</v>
      </c>
      <c r="L471" s="42">
        <v>5</v>
      </c>
      <c r="M471" s="42" t="s">
        <v>108</v>
      </c>
      <c r="N471" s="42">
        <v>4</v>
      </c>
      <c r="O471" s="42" t="s">
        <v>109</v>
      </c>
      <c r="P471" s="42">
        <v>6</v>
      </c>
      <c r="Q471" s="42" t="s">
        <v>109</v>
      </c>
      <c r="R471" s="42" t="s">
        <v>114</v>
      </c>
      <c r="U471" s="42" t="s">
        <v>121</v>
      </c>
      <c r="V471" s="42">
        <v>1</v>
      </c>
      <c r="W471" s="42" t="s">
        <v>116</v>
      </c>
      <c r="X471" s="42">
        <v>18</v>
      </c>
      <c r="Y471" s="42" t="s">
        <v>117</v>
      </c>
      <c r="Z471" s="42">
        <v>286.35000000000002</v>
      </c>
      <c r="AA471" s="42">
        <v>3.4581</v>
      </c>
      <c r="AB471" s="42" t="s">
        <v>36</v>
      </c>
      <c r="AC471" s="42">
        <v>1</v>
      </c>
      <c r="AD471" s="42">
        <v>1</v>
      </c>
      <c r="AE471" s="42">
        <v>990.23</v>
      </c>
    </row>
    <row r="472" spans="1:31" x14ac:dyDescent="0.2">
      <c r="A472" s="42" t="s">
        <v>917</v>
      </c>
      <c r="B472" s="42">
        <v>1</v>
      </c>
      <c r="C472" s="42" t="s">
        <v>476</v>
      </c>
      <c r="D472" s="42">
        <v>221</v>
      </c>
      <c r="E472" s="42" t="s">
        <v>469</v>
      </c>
      <c r="F472" s="42" t="s">
        <v>195</v>
      </c>
      <c r="G472" s="42">
        <v>2859</v>
      </c>
      <c r="H472" s="42" t="s">
        <v>280</v>
      </c>
      <c r="I472" s="42">
        <v>2472.71</v>
      </c>
      <c r="J472" s="42">
        <v>2472.71</v>
      </c>
      <c r="K472" s="42" t="b">
        <v>0</v>
      </c>
      <c r="L472" s="42">
        <v>5</v>
      </c>
      <c r="M472" s="42" t="s">
        <v>108</v>
      </c>
      <c r="N472" s="42">
        <v>2</v>
      </c>
      <c r="O472" s="42" t="s">
        <v>122</v>
      </c>
      <c r="P472" s="42">
        <v>1</v>
      </c>
      <c r="Q472" s="42" t="s">
        <v>326</v>
      </c>
      <c r="R472" s="42" t="s">
        <v>114</v>
      </c>
      <c r="U472" s="42" t="s">
        <v>121</v>
      </c>
      <c r="V472" s="42">
        <v>1</v>
      </c>
      <c r="W472" s="42" t="s">
        <v>116</v>
      </c>
      <c r="X472" s="42">
        <v>18</v>
      </c>
      <c r="Y472" s="42" t="s">
        <v>117</v>
      </c>
      <c r="Z472" s="42">
        <v>903.34</v>
      </c>
      <c r="AA472" s="42">
        <v>2.7372999999999998</v>
      </c>
      <c r="AB472" s="42" t="s">
        <v>36</v>
      </c>
      <c r="AC472" s="42">
        <v>1</v>
      </c>
      <c r="AD472" s="42">
        <v>1</v>
      </c>
      <c r="AE472" s="42">
        <v>2472.71</v>
      </c>
    </row>
    <row r="473" spans="1:31" x14ac:dyDescent="0.2">
      <c r="A473" s="42" t="s">
        <v>917</v>
      </c>
      <c r="B473" s="42">
        <v>1</v>
      </c>
      <c r="C473" s="42" t="s">
        <v>476</v>
      </c>
      <c r="D473" s="42">
        <v>221</v>
      </c>
      <c r="E473" s="42" t="s">
        <v>469</v>
      </c>
      <c r="F473" s="42" t="s">
        <v>194</v>
      </c>
      <c r="G473" s="42">
        <v>2906</v>
      </c>
      <c r="H473" s="42" t="s">
        <v>364</v>
      </c>
      <c r="I473" s="42">
        <v>492.64</v>
      </c>
      <c r="J473" s="42">
        <v>492.64</v>
      </c>
      <c r="K473" s="42" t="b">
        <v>0</v>
      </c>
      <c r="L473" s="42">
        <v>5</v>
      </c>
      <c r="M473" s="42" t="s">
        <v>108</v>
      </c>
      <c r="N473" s="42">
        <v>28</v>
      </c>
      <c r="O473" s="42" t="s">
        <v>120</v>
      </c>
      <c r="P473" s="42">
        <v>9</v>
      </c>
      <c r="Q473" s="42" t="s">
        <v>320</v>
      </c>
      <c r="R473" s="42" t="s">
        <v>114</v>
      </c>
      <c r="U473" s="42" t="s">
        <v>121</v>
      </c>
      <c r="V473" s="42">
        <v>1</v>
      </c>
      <c r="W473" s="42" t="s">
        <v>116</v>
      </c>
      <c r="X473" s="42">
        <v>18</v>
      </c>
      <c r="Y473" s="42" t="s">
        <v>117</v>
      </c>
      <c r="Z473" s="42">
        <v>45.997999999999998</v>
      </c>
      <c r="AA473" s="42">
        <v>10.71</v>
      </c>
      <c r="AB473" s="42" t="s">
        <v>36</v>
      </c>
      <c r="AC473" s="42">
        <v>1</v>
      </c>
      <c r="AD473" s="42">
        <v>1</v>
      </c>
      <c r="AE473" s="42">
        <v>492.64</v>
      </c>
    </row>
    <row r="474" spans="1:31" x14ac:dyDescent="0.2">
      <c r="A474" s="42" t="s">
        <v>917</v>
      </c>
      <c r="B474" s="42">
        <v>1</v>
      </c>
      <c r="C474" s="42" t="s">
        <v>476</v>
      </c>
      <c r="D474" s="42">
        <v>221</v>
      </c>
      <c r="E474" s="42" t="s">
        <v>469</v>
      </c>
      <c r="F474" s="42" t="s">
        <v>140</v>
      </c>
      <c r="G474" s="42">
        <v>2914</v>
      </c>
      <c r="H474" s="42" t="s">
        <v>141</v>
      </c>
      <c r="I474" s="42">
        <v>1800.06</v>
      </c>
      <c r="J474" s="42">
        <v>1800.06</v>
      </c>
      <c r="K474" s="42" t="b">
        <v>0</v>
      </c>
      <c r="L474" s="42">
        <v>5</v>
      </c>
      <c r="M474" s="42" t="s">
        <v>108</v>
      </c>
      <c r="N474" s="42">
        <v>29</v>
      </c>
      <c r="O474" s="42" t="s">
        <v>142</v>
      </c>
      <c r="P474" s="42">
        <v>3</v>
      </c>
      <c r="Q474" s="42" t="s">
        <v>325</v>
      </c>
      <c r="R474" s="42" t="s">
        <v>114</v>
      </c>
      <c r="U474" s="42" t="s">
        <v>121</v>
      </c>
      <c r="V474" s="42">
        <v>1</v>
      </c>
      <c r="W474" s="42" t="s">
        <v>116</v>
      </c>
      <c r="X474" s="42">
        <v>18</v>
      </c>
      <c r="Y474" s="42" t="s">
        <v>117</v>
      </c>
      <c r="Z474" s="42">
        <v>143.88999999999999</v>
      </c>
      <c r="AA474" s="42">
        <v>12.51</v>
      </c>
      <c r="AB474" s="42" t="s">
        <v>36</v>
      </c>
      <c r="AC474" s="42">
        <v>1</v>
      </c>
      <c r="AD474" s="42">
        <v>1</v>
      </c>
      <c r="AE474" s="42">
        <v>1800.06</v>
      </c>
    </row>
    <row r="475" spans="1:31" x14ac:dyDescent="0.2">
      <c r="A475" s="42" t="s">
        <v>917</v>
      </c>
      <c r="B475" s="42">
        <v>1</v>
      </c>
      <c r="C475" s="42" t="s">
        <v>476</v>
      </c>
      <c r="D475" s="42">
        <v>221</v>
      </c>
      <c r="E475" s="42" t="s">
        <v>469</v>
      </c>
      <c r="F475" s="42" t="s">
        <v>144</v>
      </c>
      <c r="G475" s="42">
        <v>3027</v>
      </c>
      <c r="H475" s="42" t="s">
        <v>145</v>
      </c>
      <c r="I475" s="42">
        <v>493.33</v>
      </c>
      <c r="J475" s="42">
        <v>493.33</v>
      </c>
      <c r="K475" s="42" t="b">
        <v>0</v>
      </c>
      <c r="L475" s="42">
        <v>5</v>
      </c>
      <c r="M475" s="42" t="s">
        <v>108</v>
      </c>
      <c r="N475" s="42">
        <v>5</v>
      </c>
      <c r="O475" s="42" t="s">
        <v>143</v>
      </c>
      <c r="P475" s="42">
        <v>55</v>
      </c>
      <c r="Q475" s="42" t="s">
        <v>143</v>
      </c>
      <c r="R475" s="42" t="s">
        <v>114</v>
      </c>
      <c r="U475" s="42" t="s">
        <v>121</v>
      </c>
      <c r="V475" s="42">
        <v>1</v>
      </c>
      <c r="W475" s="42" t="s">
        <v>116</v>
      </c>
      <c r="X475" s="42">
        <v>18</v>
      </c>
      <c r="Y475" s="42" t="s">
        <v>117</v>
      </c>
      <c r="Z475" s="42">
        <v>509.21699999999998</v>
      </c>
      <c r="AA475" s="42">
        <v>0.96879999999999999</v>
      </c>
      <c r="AB475" s="42" t="s">
        <v>36</v>
      </c>
      <c r="AC475" s="42">
        <v>1</v>
      </c>
      <c r="AD475" s="42">
        <v>1</v>
      </c>
      <c r="AE475" s="42">
        <v>493.33</v>
      </c>
    </row>
    <row r="476" spans="1:31" x14ac:dyDescent="0.2">
      <c r="A476" s="42" t="s">
        <v>917</v>
      </c>
      <c r="B476" s="42">
        <v>1</v>
      </c>
      <c r="C476" s="42" t="s">
        <v>476</v>
      </c>
      <c r="D476" s="42">
        <v>221</v>
      </c>
      <c r="E476" s="42" t="s">
        <v>469</v>
      </c>
      <c r="F476" s="42" t="s">
        <v>148</v>
      </c>
      <c r="G476" s="42">
        <v>3095</v>
      </c>
      <c r="H476" s="42" t="s">
        <v>149</v>
      </c>
      <c r="I476" s="42">
        <v>492.64</v>
      </c>
      <c r="J476" s="42">
        <v>492.64</v>
      </c>
      <c r="K476" s="42" t="b">
        <v>0</v>
      </c>
      <c r="L476" s="42">
        <v>5</v>
      </c>
      <c r="M476" s="42" t="s">
        <v>108</v>
      </c>
      <c r="N476" s="42">
        <v>28</v>
      </c>
      <c r="O476" s="42" t="s">
        <v>120</v>
      </c>
      <c r="P476" s="42">
        <v>9</v>
      </c>
      <c r="Q476" s="42" t="s">
        <v>320</v>
      </c>
      <c r="R476" s="42" t="s">
        <v>114</v>
      </c>
      <c r="U476" s="42" t="s">
        <v>121</v>
      </c>
      <c r="V476" s="42">
        <v>1</v>
      </c>
      <c r="W476" s="42" t="s">
        <v>116</v>
      </c>
      <c r="X476" s="42">
        <v>18</v>
      </c>
      <c r="Y476" s="42" t="s">
        <v>117</v>
      </c>
      <c r="Z476" s="42">
        <v>33.49</v>
      </c>
      <c r="AA476" s="42">
        <v>14.71</v>
      </c>
      <c r="AB476" s="42" t="s">
        <v>36</v>
      </c>
      <c r="AC476" s="42">
        <v>1</v>
      </c>
      <c r="AD476" s="42">
        <v>1</v>
      </c>
      <c r="AE476" s="42">
        <v>492.64</v>
      </c>
    </row>
    <row r="477" spans="1:31" x14ac:dyDescent="0.2">
      <c r="A477" s="42" t="s">
        <v>917</v>
      </c>
      <c r="B477" s="42">
        <v>1</v>
      </c>
      <c r="C477" s="42" t="s">
        <v>476</v>
      </c>
      <c r="D477" s="42">
        <v>221</v>
      </c>
      <c r="E477" s="42" t="s">
        <v>469</v>
      </c>
      <c r="F477" s="42" t="s">
        <v>150</v>
      </c>
      <c r="G477" s="42">
        <v>3135</v>
      </c>
      <c r="H477" s="42" t="s">
        <v>151</v>
      </c>
      <c r="I477" s="42">
        <v>1101.79</v>
      </c>
      <c r="J477" s="42">
        <v>1101.79</v>
      </c>
      <c r="K477" s="42" t="b">
        <v>0</v>
      </c>
      <c r="L477" s="42">
        <v>5</v>
      </c>
      <c r="M477" s="42" t="s">
        <v>108</v>
      </c>
      <c r="N477" s="42">
        <v>4</v>
      </c>
      <c r="O477" s="42" t="s">
        <v>109</v>
      </c>
      <c r="P477" s="42">
        <v>6</v>
      </c>
      <c r="Q477" s="42" t="s">
        <v>109</v>
      </c>
      <c r="R477" s="42" t="s">
        <v>114</v>
      </c>
      <c r="U477" s="42" t="s">
        <v>121</v>
      </c>
      <c r="V477" s="42">
        <v>1</v>
      </c>
      <c r="W477" s="42" t="s">
        <v>116</v>
      </c>
      <c r="X477" s="42">
        <v>18</v>
      </c>
      <c r="Y477" s="42" t="s">
        <v>117</v>
      </c>
      <c r="Z477" s="42">
        <v>1.5213000000000001</v>
      </c>
      <c r="AA477" s="42">
        <v>724.24419999999998</v>
      </c>
      <c r="AB477" s="42" t="s">
        <v>36</v>
      </c>
      <c r="AC477" s="42">
        <v>1</v>
      </c>
      <c r="AD477" s="42">
        <v>1</v>
      </c>
      <c r="AE477" s="42">
        <v>1101.79</v>
      </c>
    </row>
    <row r="478" spans="1:31" x14ac:dyDescent="0.2">
      <c r="A478" s="42" t="s">
        <v>917</v>
      </c>
      <c r="B478" s="42">
        <v>1</v>
      </c>
      <c r="C478" s="42" t="s">
        <v>476</v>
      </c>
      <c r="D478" s="42">
        <v>221</v>
      </c>
      <c r="E478" s="42" t="s">
        <v>469</v>
      </c>
      <c r="F478" s="42" t="s">
        <v>152</v>
      </c>
      <c r="G478" s="42">
        <v>3159</v>
      </c>
      <c r="H478" s="42" t="s">
        <v>153</v>
      </c>
      <c r="I478" s="42">
        <v>394.41</v>
      </c>
      <c r="J478" s="42">
        <v>394.41</v>
      </c>
      <c r="K478" s="42" t="b">
        <v>0</v>
      </c>
      <c r="L478" s="42">
        <v>5</v>
      </c>
      <c r="M478" s="42" t="s">
        <v>108</v>
      </c>
      <c r="N478" s="42">
        <v>28</v>
      </c>
      <c r="O478" s="42" t="s">
        <v>120</v>
      </c>
      <c r="P478" s="42">
        <v>9</v>
      </c>
      <c r="Q478" s="42" t="s">
        <v>320</v>
      </c>
      <c r="R478" s="42" t="s">
        <v>114</v>
      </c>
      <c r="U478" s="42" t="s">
        <v>121</v>
      </c>
      <c r="V478" s="42">
        <v>1</v>
      </c>
      <c r="W478" s="42" t="s">
        <v>116</v>
      </c>
      <c r="X478" s="42">
        <v>18</v>
      </c>
      <c r="Y478" s="42" t="s">
        <v>117</v>
      </c>
      <c r="Z478" s="42">
        <v>373.49</v>
      </c>
      <c r="AA478" s="42">
        <v>1.056</v>
      </c>
      <c r="AB478" s="42" t="s">
        <v>36</v>
      </c>
      <c r="AC478" s="42">
        <v>1</v>
      </c>
      <c r="AD478" s="42">
        <v>1</v>
      </c>
      <c r="AE478" s="42">
        <v>394.41</v>
      </c>
    </row>
    <row r="479" spans="1:31" x14ac:dyDescent="0.2">
      <c r="A479" s="42" t="s">
        <v>917</v>
      </c>
      <c r="B479" s="42">
        <v>1</v>
      </c>
      <c r="C479" s="42" t="s">
        <v>476</v>
      </c>
      <c r="D479" s="42">
        <v>221</v>
      </c>
      <c r="E479" s="42" t="s">
        <v>469</v>
      </c>
      <c r="F479" s="42" t="s">
        <v>156</v>
      </c>
      <c r="G479" s="42">
        <v>3988</v>
      </c>
      <c r="H479" s="42" t="s">
        <v>157</v>
      </c>
      <c r="I479" s="42">
        <v>602.47</v>
      </c>
      <c r="J479" s="42">
        <v>602.47</v>
      </c>
      <c r="K479" s="42" t="b">
        <v>0</v>
      </c>
      <c r="L479" s="42">
        <v>4</v>
      </c>
      <c r="M479" s="42" t="s">
        <v>128</v>
      </c>
      <c r="N479" s="42">
        <v>1</v>
      </c>
      <c r="O479" s="42" t="s">
        <v>112</v>
      </c>
      <c r="P479" s="42">
        <v>250</v>
      </c>
      <c r="Q479" s="42" t="s">
        <v>334</v>
      </c>
      <c r="R479" s="42" t="s">
        <v>114</v>
      </c>
      <c r="U479" s="42" t="s">
        <v>121</v>
      </c>
      <c r="V479" s="42">
        <v>1</v>
      </c>
      <c r="W479" s="42" t="s">
        <v>116</v>
      </c>
      <c r="X479" s="42">
        <v>18</v>
      </c>
      <c r="Y479" s="42" t="s">
        <v>117</v>
      </c>
      <c r="Z479" s="42">
        <v>493.01569999999998</v>
      </c>
      <c r="AA479" s="42">
        <v>1.222</v>
      </c>
      <c r="AB479" s="42" t="s">
        <v>36</v>
      </c>
      <c r="AC479" s="42">
        <v>1</v>
      </c>
      <c r="AD479" s="42">
        <v>1</v>
      </c>
      <c r="AE479" s="42">
        <v>602.47</v>
      </c>
    </row>
    <row r="480" spans="1:31" x14ac:dyDescent="0.2">
      <c r="A480" s="42" t="s">
        <v>917</v>
      </c>
      <c r="B480" s="42">
        <v>1</v>
      </c>
      <c r="C480" s="42" t="s">
        <v>476</v>
      </c>
      <c r="D480" s="42">
        <v>221</v>
      </c>
      <c r="E480" s="42" t="s">
        <v>469</v>
      </c>
      <c r="F480" s="42" t="s">
        <v>196</v>
      </c>
      <c r="G480" s="42">
        <v>4652</v>
      </c>
      <c r="H480" s="42" t="s">
        <v>281</v>
      </c>
      <c r="I480" s="42">
        <v>988.02</v>
      </c>
      <c r="J480" s="42">
        <v>988.02</v>
      </c>
      <c r="K480" s="42" t="b">
        <v>0</v>
      </c>
      <c r="L480" s="42">
        <v>5</v>
      </c>
      <c r="M480" s="42" t="s">
        <v>108</v>
      </c>
      <c r="N480" s="42">
        <v>4</v>
      </c>
      <c r="O480" s="42" t="s">
        <v>109</v>
      </c>
      <c r="P480" s="42">
        <v>6</v>
      </c>
      <c r="Q480" s="42" t="s">
        <v>109</v>
      </c>
      <c r="R480" s="42" t="s">
        <v>114</v>
      </c>
      <c r="U480" s="42" t="s">
        <v>121</v>
      </c>
      <c r="V480" s="42">
        <v>1</v>
      </c>
      <c r="W480" s="42" t="s">
        <v>116</v>
      </c>
      <c r="X480" s="42">
        <v>18</v>
      </c>
      <c r="Y480" s="42" t="s">
        <v>117</v>
      </c>
      <c r="Z480" s="42">
        <v>167.07300000000001</v>
      </c>
      <c r="AA480" s="42">
        <v>5.9137000000000004</v>
      </c>
      <c r="AB480" s="42" t="s">
        <v>36</v>
      </c>
      <c r="AC480" s="42">
        <v>1</v>
      </c>
      <c r="AD480" s="42">
        <v>1</v>
      </c>
      <c r="AE480" s="42">
        <v>988.02</v>
      </c>
    </row>
    <row r="481" spans="1:31" x14ac:dyDescent="0.2">
      <c r="A481" s="42" t="s">
        <v>917</v>
      </c>
      <c r="B481" s="42">
        <v>1</v>
      </c>
      <c r="C481" s="42" t="s">
        <v>476</v>
      </c>
      <c r="D481" s="42">
        <v>221</v>
      </c>
      <c r="E481" s="42" t="s">
        <v>469</v>
      </c>
      <c r="F481" s="42" t="s">
        <v>273</v>
      </c>
      <c r="G481" s="42">
        <v>6407</v>
      </c>
      <c r="H481" s="42" t="s">
        <v>282</v>
      </c>
      <c r="I481" s="42">
        <v>395.58</v>
      </c>
      <c r="J481" s="42">
        <v>395.58</v>
      </c>
      <c r="K481" s="42" t="b">
        <v>0</v>
      </c>
      <c r="L481" s="42">
        <v>4</v>
      </c>
      <c r="M481" s="42" t="s">
        <v>128</v>
      </c>
      <c r="N481" s="42">
        <v>2</v>
      </c>
      <c r="O481" s="42" t="s">
        <v>122</v>
      </c>
      <c r="P481" s="42">
        <v>72</v>
      </c>
      <c r="Q481" s="42" t="s">
        <v>245</v>
      </c>
      <c r="R481" s="42" t="s">
        <v>114</v>
      </c>
      <c r="U481" s="42" t="s">
        <v>115</v>
      </c>
      <c r="V481" s="42">
        <v>1</v>
      </c>
      <c r="W481" s="42" t="s">
        <v>116</v>
      </c>
      <c r="X481" s="42">
        <v>18</v>
      </c>
      <c r="Y481" s="42" t="s">
        <v>117</v>
      </c>
      <c r="Z481" s="42">
        <v>3</v>
      </c>
      <c r="AA481" s="42">
        <v>131.86150000000001</v>
      </c>
      <c r="AB481" s="42" t="s">
        <v>36</v>
      </c>
      <c r="AC481" s="42">
        <v>1</v>
      </c>
      <c r="AD481" s="42">
        <v>1</v>
      </c>
      <c r="AE481" s="42">
        <v>395.58</v>
      </c>
    </row>
    <row r="482" spans="1:31" x14ac:dyDescent="0.2">
      <c r="A482" s="42" t="s">
        <v>917</v>
      </c>
      <c r="B482" s="42">
        <v>1</v>
      </c>
      <c r="C482" s="42" t="s">
        <v>476</v>
      </c>
      <c r="D482" s="42">
        <v>221</v>
      </c>
      <c r="E482" s="42" t="s">
        <v>469</v>
      </c>
      <c r="F482" s="42" t="s">
        <v>164</v>
      </c>
      <c r="G482" s="42">
        <v>6750</v>
      </c>
      <c r="H482" s="42" t="s">
        <v>165</v>
      </c>
      <c r="I482" s="42">
        <v>498.79</v>
      </c>
      <c r="J482" s="42">
        <v>498.79</v>
      </c>
      <c r="K482" s="42" t="b">
        <v>0</v>
      </c>
      <c r="L482" s="42">
        <v>5</v>
      </c>
      <c r="M482" s="42" t="s">
        <v>108</v>
      </c>
      <c r="N482" s="42">
        <v>5</v>
      </c>
      <c r="O482" s="42" t="s">
        <v>143</v>
      </c>
      <c r="P482" s="42">
        <v>55</v>
      </c>
      <c r="Q482" s="42" t="s">
        <v>143</v>
      </c>
      <c r="R482" s="42" t="s">
        <v>114</v>
      </c>
      <c r="U482" s="42" t="s">
        <v>121</v>
      </c>
      <c r="V482" s="42">
        <v>1</v>
      </c>
      <c r="W482" s="42" t="s">
        <v>116</v>
      </c>
      <c r="X482" s="42">
        <v>18</v>
      </c>
      <c r="Y482" s="42" t="s">
        <v>117</v>
      </c>
      <c r="Z482" s="42">
        <v>602.91819999999996</v>
      </c>
      <c r="AA482" s="42">
        <v>0.82730000000000004</v>
      </c>
      <c r="AB482" s="42" t="s">
        <v>36</v>
      </c>
      <c r="AC482" s="42">
        <v>1</v>
      </c>
      <c r="AD482" s="42">
        <v>1</v>
      </c>
      <c r="AE482" s="42">
        <v>498.79</v>
      </c>
    </row>
    <row r="483" spans="1:31" x14ac:dyDescent="0.2">
      <c r="A483" s="42" t="s">
        <v>917</v>
      </c>
      <c r="B483" s="42">
        <v>1</v>
      </c>
      <c r="C483" s="42" t="s">
        <v>476</v>
      </c>
      <c r="D483" s="42">
        <v>221</v>
      </c>
      <c r="E483" s="42" t="s">
        <v>469</v>
      </c>
      <c r="F483" s="42" t="s">
        <v>200</v>
      </c>
      <c r="G483" s="42">
        <v>6983</v>
      </c>
      <c r="H483" s="42" t="s">
        <v>294</v>
      </c>
      <c r="I483" s="42">
        <v>592.04</v>
      </c>
      <c r="J483" s="42">
        <v>592.04</v>
      </c>
      <c r="K483" s="42" t="b">
        <v>0</v>
      </c>
      <c r="L483" s="42">
        <v>5</v>
      </c>
      <c r="M483" s="42" t="s">
        <v>108</v>
      </c>
      <c r="N483" s="42">
        <v>2</v>
      </c>
      <c r="O483" s="42" t="s">
        <v>122</v>
      </c>
      <c r="P483" s="42">
        <v>1</v>
      </c>
      <c r="Q483" s="42" t="s">
        <v>326</v>
      </c>
      <c r="R483" s="42" t="s">
        <v>114</v>
      </c>
      <c r="U483" s="42" t="s">
        <v>121</v>
      </c>
      <c r="V483" s="42">
        <v>1</v>
      </c>
      <c r="W483" s="42" t="s">
        <v>116</v>
      </c>
      <c r="X483" s="42">
        <v>18</v>
      </c>
      <c r="Y483" s="42" t="s">
        <v>117</v>
      </c>
      <c r="Z483" s="42">
        <v>197.65</v>
      </c>
      <c r="AA483" s="42">
        <v>2.9954000000000001</v>
      </c>
      <c r="AB483" s="42" t="s">
        <v>36</v>
      </c>
      <c r="AC483" s="42">
        <v>1</v>
      </c>
      <c r="AD483" s="42">
        <v>1</v>
      </c>
      <c r="AE483" s="42">
        <v>592.04</v>
      </c>
    </row>
    <row r="484" spans="1:31" x14ac:dyDescent="0.2">
      <c r="A484" s="42" t="s">
        <v>917</v>
      </c>
      <c r="B484" s="42">
        <v>1</v>
      </c>
      <c r="C484" s="42" t="s">
        <v>476</v>
      </c>
      <c r="D484" s="42">
        <v>221</v>
      </c>
      <c r="E484" s="42" t="s">
        <v>469</v>
      </c>
      <c r="F484" s="42" t="s">
        <v>201</v>
      </c>
      <c r="G484" s="42">
        <v>7000</v>
      </c>
      <c r="H484" s="42" t="s">
        <v>202</v>
      </c>
      <c r="I484" s="42">
        <v>986.11</v>
      </c>
      <c r="J484" s="42">
        <v>986.11</v>
      </c>
      <c r="K484" s="42" t="b">
        <v>0</v>
      </c>
      <c r="L484" s="42">
        <v>5</v>
      </c>
      <c r="M484" s="42" t="s">
        <v>108</v>
      </c>
      <c r="N484" s="42">
        <v>4</v>
      </c>
      <c r="O484" s="42" t="s">
        <v>109</v>
      </c>
      <c r="P484" s="42">
        <v>6</v>
      </c>
      <c r="Q484" s="42" t="s">
        <v>109</v>
      </c>
      <c r="R484" s="42" t="s">
        <v>114</v>
      </c>
      <c r="U484" s="42" t="s">
        <v>121</v>
      </c>
      <c r="V484" s="42">
        <v>1</v>
      </c>
      <c r="W484" s="42" t="s">
        <v>116</v>
      </c>
      <c r="X484" s="42">
        <v>18</v>
      </c>
      <c r="Y484" s="42" t="s">
        <v>117</v>
      </c>
      <c r="Z484" s="42">
        <v>106.93</v>
      </c>
      <c r="AA484" s="42">
        <v>9.2219999999999995</v>
      </c>
      <c r="AB484" s="42" t="s">
        <v>36</v>
      </c>
      <c r="AC484" s="42">
        <v>1</v>
      </c>
      <c r="AD484" s="42">
        <v>1</v>
      </c>
      <c r="AE484" s="42">
        <v>986.11</v>
      </c>
    </row>
    <row r="485" spans="1:31" x14ac:dyDescent="0.2">
      <c r="A485" s="42" t="s">
        <v>917</v>
      </c>
      <c r="B485" s="42">
        <v>1</v>
      </c>
      <c r="C485" s="42" t="s">
        <v>476</v>
      </c>
      <c r="D485" s="42">
        <v>221</v>
      </c>
      <c r="E485" s="42" t="s">
        <v>469</v>
      </c>
      <c r="F485" s="42" t="s">
        <v>283</v>
      </c>
      <c r="G485" s="42">
        <v>9237</v>
      </c>
      <c r="H485" s="42" t="s">
        <v>284</v>
      </c>
      <c r="I485" s="42">
        <v>601.94000000000005</v>
      </c>
      <c r="J485" s="42">
        <v>601.94000000000005</v>
      </c>
      <c r="K485" s="42" t="b">
        <v>0</v>
      </c>
      <c r="L485" s="42">
        <v>4</v>
      </c>
      <c r="M485" s="42" t="s">
        <v>128</v>
      </c>
      <c r="N485" s="42">
        <v>2</v>
      </c>
      <c r="O485" s="42" t="s">
        <v>122</v>
      </c>
      <c r="P485" s="42">
        <v>14</v>
      </c>
      <c r="Q485" s="42" t="s">
        <v>323</v>
      </c>
      <c r="R485" s="42" t="s">
        <v>114</v>
      </c>
      <c r="U485" s="42" t="s">
        <v>121</v>
      </c>
      <c r="V485" s="42">
        <v>1</v>
      </c>
      <c r="W485" s="42" t="s">
        <v>116</v>
      </c>
      <c r="X485" s="42">
        <v>18</v>
      </c>
      <c r="Y485" s="42" t="s">
        <v>117</v>
      </c>
      <c r="Z485" s="42">
        <v>646.8306</v>
      </c>
      <c r="AA485" s="42">
        <v>0.93059999999999998</v>
      </c>
      <c r="AB485" s="42" t="s">
        <v>36</v>
      </c>
      <c r="AC485" s="42">
        <v>1</v>
      </c>
      <c r="AD485" s="42">
        <v>1</v>
      </c>
      <c r="AE485" s="42">
        <v>601.94000000000005</v>
      </c>
    </row>
    <row r="486" spans="1:31" x14ac:dyDescent="0.2">
      <c r="A486" s="42" t="s">
        <v>917</v>
      </c>
      <c r="B486" s="42">
        <v>1</v>
      </c>
      <c r="C486" s="42" t="s">
        <v>476</v>
      </c>
      <c r="D486" s="42">
        <v>221</v>
      </c>
      <c r="E486" s="42" t="s">
        <v>469</v>
      </c>
      <c r="F486" s="42" t="s">
        <v>292</v>
      </c>
      <c r="G486" s="42">
        <v>9306</v>
      </c>
      <c r="H486" s="42" t="s">
        <v>293</v>
      </c>
      <c r="I486" s="42">
        <v>806.36</v>
      </c>
      <c r="J486" s="42">
        <v>806.36</v>
      </c>
      <c r="K486" s="42" t="b">
        <v>0</v>
      </c>
      <c r="L486" s="42">
        <v>5</v>
      </c>
      <c r="M486" s="42" t="s">
        <v>108</v>
      </c>
      <c r="N486" s="42">
        <v>27</v>
      </c>
      <c r="O486" s="42" t="s">
        <v>129</v>
      </c>
      <c r="P486" s="42">
        <v>10</v>
      </c>
      <c r="Q486" s="42" t="s">
        <v>129</v>
      </c>
      <c r="R486" s="42" t="s">
        <v>114</v>
      </c>
      <c r="U486" s="42" t="s">
        <v>121</v>
      </c>
      <c r="V486" s="42">
        <v>1</v>
      </c>
      <c r="W486" s="42" t="s">
        <v>116</v>
      </c>
      <c r="X486" s="42">
        <v>18</v>
      </c>
      <c r="Y486" s="42" t="s">
        <v>117</v>
      </c>
      <c r="Z486" s="42">
        <v>304.00099999999998</v>
      </c>
      <c r="AA486" s="42">
        <v>2.6524999999999999</v>
      </c>
      <c r="AB486" s="42" t="s">
        <v>36</v>
      </c>
      <c r="AC486" s="42">
        <v>1</v>
      </c>
      <c r="AD486" s="42">
        <v>1</v>
      </c>
      <c r="AE486" s="42">
        <v>806.36</v>
      </c>
    </row>
    <row r="487" spans="1:31" x14ac:dyDescent="0.2">
      <c r="A487" s="42" t="s">
        <v>917</v>
      </c>
      <c r="B487" s="42">
        <v>1</v>
      </c>
      <c r="C487" s="42" t="s">
        <v>476</v>
      </c>
      <c r="D487" s="42">
        <v>221</v>
      </c>
      <c r="E487" s="42" t="s">
        <v>469</v>
      </c>
      <c r="F487" s="42" t="s">
        <v>362</v>
      </c>
      <c r="G487" s="42">
        <v>10019</v>
      </c>
      <c r="H487" s="42" t="s">
        <v>363</v>
      </c>
      <c r="I487" s="42">
        <v>1212.2</v>
      </c>
      <c r="J487" s="42">
        <v>1212.29</v>
      </c>
      <c r="K487" s="42" t="b">
        <v>1</v>
      </c>
      <c r="L487" s="42">
        <v>5</v>
      </c>
      <c r="M487" s="42" t="s">
        <v>108</v>
      </c>
      <c r="N487" s="42">
        <v>4</v>
      </c>
      <c r="O487" s="42" t="s">
        <v>109</v>
      </c>
      <c r="P487" s="42">
        <v>6</v>
      </c>
      <c r="Q487" s="42" t="s">
        <v>109</v>
      </c>
      <c r="R487" s="42" t="s">
        <v>243</v>
      </c>
      <c r="S487" s="42">
        <v>1</v>
      </c>
      <c r="T487" s="42" t="s">
        <v>205</v>
      </c>
      <c r="U487" s="42" t="s">
        <v>115</v>
      </c>
      <c r="V487" s="42">
        <v>1</v>
      </c>
      <c r="W487" s="42" t="s">
        <v>116</v>
      </c>
      <c r="X487" s="42">
        <v>22</v>
      </c>
      <c r="Y487" s="42" t="s">
        <v>217</v>
      </c>
      <c r="Z487" s="42">
        <v>20</v>
      </c>
      <c r="AA487" s="42">
        <v>69.584999999999994</v>
      </c>
      <c r="AB487" s="42" t="s">
        <v>34</v>
      </c>
      <c r="AC487" s="42">
        <v>1.1479999999999999</v>
      </c>
      <c r="AD487" s="42">
        <v>1</v>
      </c>
      <c r="AE487" s="42">
        <v>1212.28</v>
      </c>
    </row>
    <row r="488" spans="1:31" x14ac:dyDescent="0.2">
      <c r="A488" s="42" t="s">
        <v>917</v>
      </c>
      <c r="B488" s="42">
        <v>1</v>
      </c>
      <c r="C488" s="42" t="s">
        <v>476</v>
      </c>
      <c r="D488" s="42">
        <v>221</v>
      </c>
      <c r="E488" s="42" t="s">
        <v>469</v>
      </c>
      <c r="F488" s="42" t="s">
        <v>344</v>
      </c>
      <c r="G488" s="42">
        <v>10176</v>
      </c>
      <c r="H488" s="42" t="s">
        <v>345</v>
      </c>
      <c r="I488" s="42">
        <v>785.38</v>
      </c>
      <c r="J488" s="42">
        <v>785.38</v>
      </c>
      <c r="K488" s="42" t="b">
        <v>0</v>
      </c>
      <c r="L488" s="42">
        <v>5</v>
      </c>
      <c r="M488" s="42" t="s">
        <v>108</v>
      </c>
      <c r="N488" s="42">
        <v>2</v>
      </c>
      <c r="O488" s="42" t="s">
        <v>122</v>
      </c>
      <c r="P488" s="42">
        <v>2</v>
      </c>
      <c r="Q488" s="42" t="s">
        <v>322</v>
      </c>
      <c r="R488" s="42" t="s">
        <v>114</v>
      </c>
      <c r="U488" s="42" t="s">
        <v>121</v>
      </c>
      <c r="V488" s="42">
        <v>1</v>
      </c>
      <c r="W488" s="42" t="s">
        <v>116</v>
      </c>
      <c r="X488" s="42">
        <v>18</v>
      </c>
      <c r="Y488" s="42" t="s">
        <v>117</v>
      </c>
      <c r="Z488" s="42">
        <v>683.12</v>
      </c>
      <c r="AA488" s="42">
        <v>1.1496999999999999</v>
      </c>
      <c r="AB488" s="42" t="s">
        <v>36</v>
      </c>
      <c r="AC488" s="42">
        <v>1</v>
      </c>
      <c r="AD488" s="42">
        <v>1</v>
      </c>
      <c r="AE488" s="42">
        <v>785.38</v>
      </c>
    </row>
    <row r="489" spans="1:31" x14ac:dyDescent="0.2">
      <c r="A489" s="42" t="s">
        <v>917</v>
      </c>
      <c r="B489" s="42">
        <v>1</v>
      </c>
      <c r="C489" s="42" t="s">
        <v>476</v>
      </c>
      <c r="D489" s="42">
        <v>221</v>
      </c>
      <c r="E489" s="42" t="s">
        <v>469</v>
      </c>
      <c r="F489" s="42" t="s">
        <v>332</v>
      </c>
      <c r="G489" s="42">
        <v>10273</v>
      </c>
      <c r="H489" s="42" t="s">
        <v>333</v>
      </c>
      <c r="I489" s="42">
        <v>2006.37</v>
      </c>
      <c r="J489" s="42">
        <v>2006.37</v>
      </c>
      <c r="K489" s="42" t="b">
        <v>0</v>
      </c>
      <c r="L489" s="42">
        <v>4</v>
      </c>
      <c r="M489" s="42" t="s">
        <v>128</v>
      </c>
      <c r="N489" s="42">
        <v>1</v>
      </c>
      <c r="O489" s="42" t="s">
        <v>112</v>
      </c>
      <c r="P489" s="42">
        <v>31</v>
      </c>
      <c r="Q489" s="42" t="s">
        <v>330</v>
      </c>
      <c r="R489" s="42" t="s">
        <v>114</v>
      </c>
      <c r="U489" s="42" t="s">
        <v>121</v>
      </c>
      <c r="V489" s="42">
        <v>1</v>
      </c>
      <c r="W489" s="42" t="s">
        <v>116</v>
      </c>
      <c r="X489" s="42">
        <v>18</v>
      </c>
      <c r="Y489" s="42" t="s">
        <v>117</v>
      </c>
      <c r="Z489" s="42">
        <v>1872.309</v>
      </c>
      <c r="AA489" s="42">
        <v>1.0716000000000001</v>
      </c>
      <c r="AB489" s="42" t="s">
        <v>36</v>
      </c>
      <c r="AC489" s="42">
        <v>1</v>
      </c>
      <c r="AD489" s="42">
        <v>1</v>
      </c>
      <c r="AE489" s="42">
        <v>2006.37</v>
      </c>
    </row>
    <row r="490" spans="1:31" x14ac:dyDescent="0.2">
      <c r="A490" s="42" t="s">
        <v>917</v>
      </c>
      <c r="B490" s="42">
        <v>1</v>
      </c>
      <c r="C490" s="42" t="s">
        <v>478</v>
      </c>
      <c r="D490" s="42">
        <v>222</v>
      </c>
      <c r="E490" s="42" t="s">
        <v>468</v>
      </c>
      <c r="F490" s="42" t="s">
        <v>495</v>
      </c>
      <c r="G490" s="42">
        <v>2526</v>
      </c>
      <c r="H490" s="42" t="s">
        <v>496</v>
      </c>
      <c r="I490" s="42">
        <v>467.88</v>
      </c>
      <c r="J490" s="42">
        <v>467.88</v>
      </c>
      <c r="K490" s="42" t="b">
        <v>0</v>
      </c>
      <c r="L490" s="42">
        <v>5</v>
      </c>
      <c r="M490" s="42" t="s">
        <v>108</v>
      </c>
      <c r="N490" s="42">
        <v>29</v>
      </c>
      <c r="O490" s="42" t="s">
        <v>142</v>
      </c>
      <c r="P490" s="42">
        <v>3</v>
      </c>
      <c r="Q490" s="42" t="s">
        <v>325</v>
      </c>
      <c r="R490" s="42" t="s">
        <v>114</v>
      </c>
      <c r="U490" s="42" t="s">
        <v>121</v>
      </c>
      <c r="V490" s="42">
        <v>1</v>
      </c>
      <c r="W490" s="42" t="s">
        <v>116</v>
      </c>
      <c r="X490" s="42">
        <v>18</v>
      </c>
      <c r="Y490" s="42" t="s">
        <v>117</v>
      </c>
      <c r="Z490" s="42">
        <v>185.63</v>
      </c>
      <c r="AA490" s="42">
        <v>2.5205000000000002</v>
      </c>
      <c r="AB490" s="42" t="s">
        <v>36</v>
      </c>
      <c r="AC490" s="42">
        <v>1</v>
      </c>
      <c r="AD490" s="42">
        <v>1</v>
      </c>
      <c r="AE490" s="42">
        <v>467.88</v>
      </c>
    </row>
    <row r="491" spans="1:31" x14ac:dyDescent="0.2">
      <c r="A491" s="42" t="s">
        <v>917</v>
      </c>
      <c r="B491" s="42">
        <v>1</v>
      </c>
      <c r="C491" s="42" t="s">
        <v>478</v>
      </c>
      <c r="D491" s="42">
        <v>222</v>
      </c>
      <c r="E491" s="42" t="s">
        <v>468</v>
      </c>
      <c r="F491" s="42" t="s">
        <v>130</v>
      </c>
      <c r="G491" s="42">
        <v>2643</v>
      </c>
      <c r="H491" s="42" t="s">
        <v>131</v>
      </c>
      <c r="I491" s="42">
        <v>249.07</v>
      </c>
      <c r="J491" s="42">
        <v>249.07</v>
      </c>
      <c r="K491" s="42" t="b">
        <v>0</v>
      </c>
      <c r="L491" s="42">
        <v>5</v>
      </c>
      <c r="M491" s="42" t="s">
        <v>108</v>
      </c>
      <c r="N491" s="42">
        <v>28</v>
      </c>
      <c r="O491" s="42" t="s">
        <v>120</v>
      </c>
      <c r="P491" s="42">
        <v>9</v>
      </c>
      <c r="Q491" s="42" t="s">
        <v>320</v>
      </c>
      <c r="R491" s="42" t="s">
        <v>114</v>
      </c>
      <c r="U491" s="42" t="s">
        <v>121</v>
      </c>
      <c r="V491" s="42">
        <v>1</v>
      </c>
      <c r="W491" s="42" t="s">
        <v>116</v>
      </c>
      <c r="X491" s="42">
        <v>18</v>
      </c>
      <c r="Y491" s="42" t="s">
        <v>117</v>
      </c>
      <c r="Z491" s="42">
        <v>12.05</v>
      </c>
      <c r="AA491" s="42">
        <v>20.67</v>
      </c>
      <c r="AB491" s="42" t="s">
        <v>36</v>
      </c>
      <c r="AC491" s="42">
        <v>1</v>
      </c>
      <c r="AD491" s="42">
        <v>1</v>
      </c>
      <c r="AE491" s="42">
        <v>249.07</v>
      </c>
    </row>
    <row r="492" spans="1:31" x14ac:dyDescent="0.2">
      <c r="A492" s="42" t="s">
        <v>917</v>
      </c>
      <c r="B492" s="42">
        <v>1</v>
      </c>
      <c r="C492" s="42" t="s">
        <v>478</v>
      </c>
      <c r="D492" s="42">
        <v>222</v>
      </c>
      <c r="E492" s="42" t="s">
        <v>468</v>
      </c>
      <c r="F492" s="42" t="s">
        <v>132</v>
      </c>
      <c r="G492" s="42">
        <v>2856</v>
      </c>
      <c r="H492" s="42" t="s">
        <v>133</v>
      </c>
      <c r="I492" s="42">
        <v>1089.27</v>
      </c>
      <c r="J492" s="42">
        <v>1089.27</v>
      </c>
      <c r="K492" s="42" t="b">
        <v>0</v>
      </c>
      <c r="L492" s="42">
        <v>5</v>
      </c>
      <c r="M492" s="42" t="s">
        <v>108</v>
      </c>
      <c r="N492" s="42">
        <v>4</v>
      </c>
      <c r="O492" s="42" t="s">
        <v>109</v>
      </c>
      <c r="P492" s="42">
        <v>6</v>
      </c>
      <c r="Q492" s="42" t="s">
        <v>109</v>
      </c>
      <c r="R492" s="42" t="s">
        <v>114</v>
      </c>
      <c r="U492" s="42" t="s">
        <v>121</v>
      </c>
      <c r="V492" s="42">
        <v>1</v>
      </c>
      <c r="W492" s="42" t="s">
        <v>116</v>
      </c>
      <c r="X492" s="42">
        <v>18</v>
      </c>
      <c r="Y492" s="42" t="s">
        <v>117</v>
      </c>
      <c r="Z492" s="42">
        <v>314.99</v>
      </c>
      <c r="AA492" s="42">
        <v>3.4581</v>
      </c>
      <c r="AB492" s="42" t="s">
        <v>36</v>
      </c>
      <c r="AC492" s="42">
        <v>1</v>
      </c>
      <c r="AD492" s="42">
        <v>1</v>
      </c>
      <c r="AE492" s="42">
        <v>1089.27</v>
      </c>
    </row>
    <row r="493" spans="1:31" x14ac:dyDescent="0.2">
      <c r="A493" s="42" t="s">
        <v>917</v>
      </c>
      <c r="B493" s="42">
        <v>1</v>
      </c>
      <c r="C493" s="42" t="s">
        <v>478</v>
      </c>
      <c r="D493" s="42">
        <v>222</v>
      </c>
      <c r="E493" s="42" t="s">
        <v>468</v>
      </c>
      <c r="F493" s="42" t="s">
        <v>195</v>
      </c>
      <c r="G493" s="42">
        <v>2859</v>
      </c>
      <c r="H493" s="42" t="s">
        <v>280</v>
      </c>
      <c r="I493" s="42">
        <v>642.9</v>
      </c>
      <c r="J493" s="42">
        <v>642.9</v>
      </c>
      <c r="K493" s="42" t="b">
        <v>0</v>
      </c>
      <c r="L493" s="42">
        <v>5</v>
      </c>
      <c r="M493" s="42" t="s">
        <v>108</v>
      </c>
      <c r="N493" s="42">
        <v>2</v>
      </c>
      <c r="O493" s="42" t="s">
        <v>122</v>
      </c>
      <c r="P493" s="42">
        <v>1</v>
      </c>
      <c r="Q493" s="42" t="s">
        <v>326</v>
      </c>
      <c r="R493" s="42" t="s">
        <v>114</v>
      </c>
      <c r="U493" s="42" t="s">
        <v>121</v>
      </c>
      <c r="V493" s="42">
        <v>1</v>
      </c>
      <c r="W493" s="42" t="s">
        <v>116</v>
      </c>
      <c r="X493" s="42">
        <v>18</v>
      </c>
      <c r="Y493" s="42" t="s">
        <v>117</v>
      </c>
      <c r="Z493" s="42">
        <v>234.86799999999999</v>
      </c>
      <c r="AA493" s="42">
        <v>2.7372999999999998</v>
      </c>
      <c r="AB493" s="42" t="s">
        <v>36</v>
      </c>
      <c r="AC493" s="42">
        <v>1</v>
      </c>
      <c r="AD493" s="42">
        <v>1</v>
      </c>
      <c r="AE493" s="42">
        <v>642.9</v>
      </c>
    </row>
    <row r="494" spans="1:31" x14ac:dyDescent="0.2">
      <c r="A494" s="42" t="s">
        <v>917</v>
      </c>
      <c r="B494" s="42">
        <v>1</v>
      </c>
      <c r="C494" s="42" t="s">
        <v>478</v>
      </c>
      <c r="D494" s="42">
        <v>222</v>
      </c>
      <c r="E494" s="42" t="s">
        <v>468</v>
      </c>
      <c r="F494" s="42" t="s">
        <v>194</v>
      </c>
      <c r="G494" s="42">
        <v>2906</v>
      </c>
      <c r="H494" s="42" t="s">
        <v>364</v>
      </c>
      <c r="I494" s="42">
        <v>394.12</v>
      </c>
      <c r="J494" s="42">
        <v>394.12</v>
      </c>
      <c r="K494" s="42" t="b">
        <v>0</v>
      </c>
      <c r="L494" s="42">
        <v>5</v>
      </c>
      <c r="M494" s="42" t="s">
        <v>108</v>
      </c>
      <c r="N494" s="42">
        <v>28</v>
      </c>
      <c r="O494" s="42" t="s">
        <v>120</v>
      </c>
      <c r="P494" s="42">
        <v>9</v>
      </c>
      <c r="Q494" s="42" t="s">
        <v>320</v>
      </c>
      <c r="R494" s="42" t="s">
        <v>114</v>
      </c>
      <c r="U494" s="42" t="s">
        <v>121</v>
      </c>
      <c r="V494" s="42">
        <v>1</v>
      </c>
      <c r="W494" s="42" t="s">
        <v>116</v>
      </c>
      <c r="X494" s="42">
        <v>18</v>
      </c>
      <c r="Y494" s="42" t="s">
        <v>117</v>
      </c>
      <c r="Z494" s="42">
        <v>36.798999999999999</v>
      </c>
      <c r="AA494" s="42">
        <v>10.71</v>
      </c>
      <c r="AB494" s="42" t="s">
        <v>36</v>
      </c>
      <c r="AC494" s="42">
        <v>1</v>
      </c>
      <c r="AD494" s="42">
        <v>1</v>
      </c>
      <c r="AE494" s="42">
        <v>394.12</v>
      </c>
    </row>
    <row r="495" spans="1:31" x14ac:dyDescent="0.2">
      <c r="A495" s="42" t="s">
        <v>917</v>
      </c>
      <c r="B495" s="42">
        <v>1</v>
      </c>
      <c r="C495" s="42" t="s">
        <v>478</v>
      </c>
      <c r="D495" s="42">
        <v>222</v>
      </c>
      <c r="E495" s="42" t="s">
        <v>468</v>
      </c>
      <c r="F495" s="42" t="s">
        <v>140</v>
      </c>
      <c r="G495" s="42">
        <v>2914</v>
      </c>
      <c r="H495" s="42" t="s">
        <v>141</v>
      </c>
      <c r="I495" s="42">
        <v>500.02</v>
      </c>
      <c r="J495" s="42">
        <v>500.02</v>
      </c>
      <c r="K495" s="42" t="b">
        <v>0</v>
      </c>
      <c r="L495" s="42">
        <v>5</v>
      </c>
      <c r="M495" s="42" t="s">
        <v>108</v>
      </c>
      <c r="N495" s="42">
        <v>29</v>
      </c>
      <c r="O495" s="42" t="s">
        <v>142</v>
      </c>
      <c r="P495" s="42">
        <v>3</v>
      </c>
      <c r="Q495" s="42" t="s">
        <v>325</v>
      </c>
      <c r="R495" s="42" t="s">
        <v>114</v>
      </c>
      <c r="U495" s="42" t="s">
        <v>121</v>
      </c>
      <c r="V495" s="42">
        <v>1</v>
      </c>
      <c r="W495" s="42" t="s">
        <v>116</v>
      </c>
      <c r="X495" s="42">
        <v>18</v>
      </c>
      <c r="Y495" s="42" t="s">
        <v>117</v>
      </c>
      <c r="Z495" s="42">
        <v>39.97</v>
      </c>
      <c r="AA495" s="42">
        <v>12.51</v>
      </c>
      <c r="AB495" s="42" t="s">
        <v>36</v>
      </c>
      <c r="AC495" s="42">
        <v>1</v>
      </c>
      <c r="AD495" s="42">
        <v>1</v>
      </c>
      <c r="AE495" s="42">
        <v>500.02</v>
      </c>
    </row>
    <row r="496" spans="1:31" x14ac:dyDescent="0.2">
      <c r="A496" s="42" t="s">
        <v>917</v>
      </c>
      <c r="B496" s="42">
        <v>1</v>
      </c>
      <c r="C496" s="42" t="s">
        <v>478</v>
      </c>
      <c r="D496" s="42">
        <v>222</v>
      </c>
      <c r="E496" s="42" t="s">
        <v>468</v>
      </c>
      <c r="F496" s="42" t="s">
        <v>144</v>
      </c>
      <c r="G496" s="42">
        <v>3027</v>
      </c>
      <c r="H496" s="42" t="s">
        <v>145</v>
      </c>
      <c r="I496" s="42">
        <v>246.67</v>
      </c>
      <c r="J496" s="42">
        <v>246.67</v>
      </c>
      <c r="K496" s="42" t="b">
        <v>0</v>
      </c>
      <c r="L496" s="42">
        <v>5</v>
      </c>
      <c r="M496" s="42" t="s">
        <v>108</v>
      </c>
      <c r="N496" s="42">
        <v>5</v>
      </c>
      <c r="O496" s="42" t="s">
        <v>143</v>
      </c>
      <c r="P496" s="42">
        <v>55</v>
      </c>
      <c r="Q496" s="42" t="s">
        <v>143</v>
      </c>
      <c r="R496" s="42" t="s">
        <v>114</v>
      </c>
      <c r="U496" s="42" t="s">
        <v>121</v>
      </c>
      <c r="V496" s="42">
        <v>1</v>
      </c>
      <c r="W496" s="42" t="s">
        <v>116</v>
      </c>
      <c r="X496" s="42">
        <v>18</v>
      </c>
      <c r="Y496" s="42" t="s">
        <v>117</v>
      </c>
      <c r="Z496" s="42">
        <v>254.60900000000001</v>
      </c>
      <c r="AA496" s="42">
        <v>0.96879999999999999</v>
      </c>
      <c r="AB496" s="42" t="s">
        <v>36</v>
      </c>
      <c r="AC496" s="42">
        <v>1</v>
      </c>
      <c r="AD496" s="42">
        <v>1</v>
      </c>
      <c r="AE496" s="42">
        <v>246.67</v>
      </c>
    </row>
    <row r="497" spans="1:31" x14ac:dyDescent="0.2">
      <c r="A497" s="42" t="s">
        <v>917</v>
      </c>
      <c r="B497" s="42">
        <v>1</v>
      </c>
      <c r="C497" s="42" t="s">
        <v>478</v>
      </c>
      <c r="D497" s="42">
        <v>222</v>
      </c>
      <c r="E497" s="42" t="s">
        <v>468</v>
      </c>
      <c r="F497" s="42" t="s">
        <v>511</v>
      </c>
      <c r="G497" s="42">
        <v>3092</v>
      </c>
      <c r="H497" s="42" t="s">
        <v>512</v>
      </c>
      <c r="I497" s="42">
        <v>477.96</v>
      </c>
      <c r="J497" s="42">
        <v>478.51</v>
      </c>
      <c r="K497" s="42" t="b">
        <v>0</v>
      </c>
      <c r="L497" s="42">
        <v>5</v>
      </c>
      <c r="M497" s="42" t="s">
        <v>108</v>
      </c>
      <c r="N497" s="42">
        <v>29</v>
      </c>
      <c r="O497" s="42" t="s">
        <v>142</v>
      </c>
      <c r="P497" s="42">
        <v>3</v>
      </c>
      <c r="Q497" s="42" t="s">
        <v>325</v>
      </c>
      <c r="R497" s="42" t="s">
        <v>114</v>
      </c>
      <c r="U497" s="42" t="s">
        <v>121</v>
      </c>
      <c r="V497" s="42">
        <v>1</v>
      </c>
      <c r="W497" s="42" t="s">
        <v>116</v>
      </c>
      <c r="X497" s="42">
        <v>18</v>
      </c>
      <c r="Y497" s="42" t="s">
        <v>117</v>
      </c>
      <c r="Z497" s="42">
        <v>180.05600000000001</v>
      </c>
      <c r="AA497" s="42">
        <v>2.6575500000000001</v>
      </c>
      <c r="AB497" s="42" t="s">
        <v>36</v>
      </c>
      <c r="AC497" s="42">
        <v>1</v>
      </c>
      <c r="AD497" s="42">
        <v>1</v>
      </c>
      <c r="AE497" s="42">
        <v>478.51</v>
      </c>
    </row>
    <row r="498" spans="1:31" x14ac:dyDescent="0.2">
      <c r="A498" s="42" t="s">
        <v>917</v>
      </c>
      <c r="B498" s="42">
        <v>1</v>
      </c>
      <c r="C498" s="42" t="s">
        <v>478</v>
      </c>
      <c r="D498" s="42">
        <v>222</v>
      </c>
      <c r="E498" s="42" t="s">
        <v>468</v>
      </c>
      <c r="F498" s="42" t="s">
        <v>148</v>
      </c>
      <c r="G498" s="42">
        <v>3095</v>
      </c>
      <c r="H498" s="42" t="s">
        <v>149</v>
      </c>
      <c r="I498" s="42">
        <v>394.08</v>
      </c>
      <c r="J498" s="42">
        <v>394.08</v>
      </c>
      <c r="K498" s="42" t="b">
        <v>0</v>
      </c>
      <c r="L498" s="42">
        <v>5</v>
      </c>
      <c r="M498" s="42" t="s">
        <v>108</v>
      </c>
      <c r="N498" s="42">
        <v>28</v>
      </c>
      <c r="O498" s="42" t="s">
        <v>120</v>
      </c>
      <c r="P498" s="42">
        <v>9</v>
      </c>
      <c r="Q498" s="42" t="s">
        <v>320</v>
      </c>
      <c r="R498" s="42" t="s">
        <v>114</v>
      </c>
      <c r="U498" s="42" t="s">
        <v>121</v>
      </c>
      <c r="V498" s="42">
        <v>1</v>
      </c>
      <c r="W498" s="42" t="s">
        <v>116</v>
      </c>
      <c r="X498" s="42">
        <v>18</v>
      </c>
      <c r="Y498" s="42" t="s">
        <v>117</v>
      </c>
      <c r="Z498" s="42">
        <v>26.79</v>
      </c>
      <c r="AA498" s="42">
        <v>14.71</v>
      </c>
      <c r="AB498" s="42" t="s">
        <v>36</v>
      </c>
      <c r="AC498" s="42">
        <v>1</v>
      </c>
      <c r="AD498" s="42">
        <v>1</v>
      </c>
      <c r="AE498" s="42">
        <v>394.08</v>
      </c>
    </row>
    <row r="499" spans="1:31" x14ac:dyDescent="0.2">
      <c r="A499" s="42" t="s">
        <v>917</v>
      </c>
      <c r="B499" s="42">
        <v>1</v>
      </c>
      <c r="C499" s="42" t="s">
        <v>478</v>
      </c>
      <c r="D499" s="42">
        <v>222</v>
      </c>
      <c r="E499" s="42" t="s">
        <v>468</v>
      </c>
      <c r="F499" s="42" t="s">
        <v>150</v>
      </c>
      <c r="G499" s="42">
        <v>3135</v>
      </c>
      <c r="H499" s="42" t="s">
        <v>151</v>
      </c>
      <c r="I499" s="42">
        <v>1201.96</v>
      </c>
      <c r="J499" s="42">
        <v>1201.96</v>
      </c>
      <c r="K499" s="42" t="b">
        <v>0</v>
      </c>
      <c r="L499" s="42">
        <v>5</v>
      </c>
      <c r="M499" s="42" t="s">
        <v>108</v>
      </c>
      <c r="N499" s="42">
        <v>4</v>
      </c>
      <c r="O499" s="42" t="s">
        <v>109</v>
      </c>
      <c r="P499" s="42">
        <v>6</v>
      </c>
      <c r="Q499" s="42" t="s">
        <v>109</v>
      </c>
      <c r="R499" s="42" t="s">
        <v>114</v>
      </c>
      <c r="U499" s="42" t="s">
        <v>121</v>
      </c>
      <c r="V499" s="42">
        <v>1</v>
      </c>
      <c r="W499" s="42" t="s">
        <v>116</v>
      </c>
      <c r="X499" s="42">
        <v>18</v>
      </c>
      <c r="Y499" s="42" t="s">
        <v>117</v>
      </c>
      <c r="Z499" s="42">
        <v>1.6596</v>
      </c>
      <c r="AA499" s="42">
        <v>724.24419999999998</v>
      </c>
      <c r="AB499" s="42" t="s">
        <v>36</v>
      </c>
      <c r="AC499" s="42">
        <v>1</v>
      </c>
      <c r="AD499" s="42">
        <v>1</v>
      </c>
      <c r="AE499" s="42">
        <v>1201.96</v>
      </c>
    </row>
    <row r="500" spans="1:31" x14ac:dyDescent="0.2">
      <c r="A500" s="42" t="s">
        <v>917</v>
      </c>
      <c r="B500" s="42">
        <v>1</v>
      </c>
      <c r="C500" s="42" t="s">
        <v>478</v>
      </c>
      <c r="D500" s="42">
        <v>222</v>
      </c>
      <c r="E500" s="42" t="s">
        <v>468</v>
      </c>
      <c r="F500" s="42" t="s">
        <v>152</v>
      </c>
      <c r="G500" s="42">
        <v>3159</v>
      </c>
      <c r="H500" s="42" t="s">
        <v>153</v>
      </c>
      <c r="I500" s="42">
        <v>246.5</v>
      </c>
      <c r="J500" s="42">
        <v>246.5</v>
      </c>
      <c r="K500" s="42" t="b">
        <v>0</v>
      </c>
      <c r="L500" s="42">
        <v>5</v>
      </c>
      <c r="M500" s="42" t="s">
        <v>108</v>
      </c>
      <c r="N500" s="42">
        <v>28</v>
      </c>
      <c r="O500" s="42" t="s">
        <v>120</v>
      </c>
      <c r="P500" s="42">
        <v>9</v>
      </c>
      <c r="Q500" s="42" t="s">
        <v>320</v>
      </c>
      <c r="R500" s="42" t="s">
        <v>114</v>
      </c>
      <c r="U500" s="42" t="s">
        <v>121</v>
      </c>
      <c r="V500" s="42">
        <v>1</v>
      </c>
      <c r="W500" s="42" t="s">
        <v>116</v>
      </c>
      <c r="X500" s="42">
        <v>18</v>
      </c>
      <c r="Y500" s="42" t="s">
        <v>117</v>
      </c>
      <c r="Z500" s="42">
        <v>233.43</v>
      </c>
      <c r="AA500" s="42">
        <v>1.056</v>
      </c>
      <c r="AB500" s="42" t="s">
        <v>36</v>
      </c>
      <c r="AC500" s="42">
        <v>1</v>
      </c>
      <c r="AD500" s="42">
        <v>1</v>
      </c>
      <c r="AE500" s="42">
        <v>246.5</v>
      </c>
    </row>
    <row r="501" spans="1:31" x14ac:dyDescent="0.2">
      <c r="A501" s="42" t="s">
        <v>917</v>
      </c>
      <c r="B501" s="42">
        <v>1</v>
      </c>
      <c r="C501" s="42" t="s">
        <v>478</v>
      </c>
      <c r="D501" s="42">
        <v>222</v>
      </c>
      <c r="E501" s="42" t="s">
        <v>468</v>
      </c>
      <c r="F501" s="42" t="s">
        <v>196</v>
      </c>
      <c r="G501" s="42">
        <v>4652</v>
      </c>
      <c r="H501" s="42" t="s">
        <v>281</v>
      </c>
      <c r="I501" s="42">
        <v>1136.22</v>
      </c>
      <c r="J501" s="42">
        <v>1136.22</v>
      </c>
      <c r="K501" s="42" t="b">
        <v>0</v>
      </c>
      <c r="L501" s="42">
        <v>5</v>
      </c>
      <c r="M501" s="42" t="s">
        <v>108</v>
      </c>
      <c r="N501" s="42">
        <v>4</v>
      </c>
      <c r="O501" s="42" t="s">
        <v>109</v>
      </c>
      <c r="P501" s="42">
        <v>6</v>
      </c>
      <c r="Q501" s="42" t="s">
        <v>109</v>
      </c>
      <c r="R501" s="42" t="s">
        <v>114</v>
      </c>
      <c r="U501" s="42" t="s">
        <v>121</v>
      </c>
      <c r="V501" s="42">
        <v>1</v>
      </c>
      <c r="W501" s="42" t="s">
        <v>116</v>
      </c>
      <c r="X501" s="42">
        <v>18</v>
      </c>
      <c r="Y501" s="42" t="s">
        <v>117</v>
      </c>
      <c r="Z501" s="42">
        <v>192.13300000000001</v>
      </c>
      <c r="AA501" s="42">
        <v>5.9137000000000004</v>
      </c>
      <c r="AB501" s="42" t="s">
        <v>36</v>
      </c>
      <c r="AC501" s="42">
        <v>1</v>
      </c>
      <c r="AD501" s="42">
        <v>1</v>
      </c>
      <c r="AE501" s="42">
        <v>1136.22</v>
      </c>
    </row>
    <row r="502" spans="1:31" x14ac:dyDescent="0.2">
      <c r="A502" s="42" t="s">
        <v>917</v>
      </c>
      <c r="B502" s="42">
        <v>1</v>
      </c>
      <c r="C502" s="42" t="s">
        <v>478</v>
      </c>
      <c r="D502" s="42">
        <v>222</v>
      </c>
      <c r="E502" s="42" t="s">
        <v>468</v>
      </c>
      <c r="F502" s="42" t="s">
        <v>164</v>
      </c>
      <c r="G502" s="42">
        <v>6750</v>
      </c>
      <c r="H502" s="42" t="s">
        <v>165</v>
      </c>
      <c r="I502" s="42">
        <v>249.4</v>
      </c>
      <c r="J502" s="42">
        <v>249.4</v>
      </c>
      <c r="K502" s="42" t="b">
        <v>0</v>
      </c>
      <c r="L502" s="42">
        <v>5</v>
      </c>
      <c r="M502" s="42" t="s">
        <v>108</v>
      </c>
      <c r="N502" s="42">
        <v>5</v>
      </c>
      <c r="O502" s="42" t="s">
        <v>143</v>
      </c>
      <c r="P502" s="42">
        <v>55</v>
      </c>
      <c r="Q502" s="42" t="s">
        <v>143</v>
      </c>
      <c r="R502" s="42" t="s">
        <v>114</v>
      </c>
      <c r="U502" s="42" t="s">
        <v>121</v>
      </c>
      <c r="V502" s="42">
        <v>1</v>
      </c>
      <c r="W502" s="42" t="s">
        <v>116</v>
      </c>
      <c r="X502" s="42">
        <v>18</v>
      </c>
      <c r="Y502" s="42" t="s">
        <v>117</v>
      </c>
      <c r="Z502" s="42">
        <v>301.45909999999998</v>
      </c>
      <c r="AA502" s="42">
        <v>0.82730000000000004</v>
      </c>
      <c r="AB502" s="42" t="s">
        <v>36</v>
      </c>
      <c r="AC502" s="42">
        <v>1</v>
      </c>
      <c r="AD502" s="42">
        <v>1</v>
      </c>
      <c r="AE502" s="42">
        <v>249.4</v>
      </c>
    </row>
    <row r="503" spans="1:31" x14ac:dyDescent="0.2">
      <c r="A503" s="42" t="s">
        <v>917</v>
      </c>
      <c r="B503" s="42">
        <v>1</v>
      </c>
      <c r="C503" s="42" t="s">
        <v>478</v>
      </c>
      <c r="D503" s="42">
        <v>222</v>
      </c>
      <c r="E503" s="42" t="s">
        <v>468</v>
      </c>
      <c r="F503" s="42" t="s">
        <v>201</v>
      </c>
      <c r="G503" s="42">
        <v>7000</v>
      </c>
      <c r="H503" s="42" t="s">
        <v>202</v>
      </c>
      <c r="I503" s="42">
        <v>1084.78</v>
      </c>
      <c r="J503" s="42">
        <v>1084.78</v>
      </c>
      <c r="K503" s="42" t="b">
        <v>0</v>
      </c>
      <c r="L503" s="42">
        <v>5</v>
      </c>
      <c r="M503" s="42" t="s">
        <v>108</v>
      </c>
      <c r="N503" s="42">
        <v>4</v>
      </c>
      <c r="O503" s="42" t="s">
        <v>109</v>
      </c>
      <c r="P503" s="42">
        <v>6</v>
      </c>
      <c r="Q503" s="42" t="s">
        <v>109</v>
      </c>
      <c r="R503" s="42" t="s">
        <v>114</v>
      </c>
      <c r="U503" s="42" t="s">
        <v>121</v>
      </c>
      <c r="V503" s="42">
        <v>1</v>
      </c>
      <c r="W503" s="42" t="s">
        <v>116</v>
      </c>
      <c r="X503" s="42">
        <v>18</v>
      </c>
      <c r="Y503" s="42" t="s">
        <v>117</v>
      </c>
      <c r="Z503" s="42">
        <v>117.63</v>
      </c>
      <c r="AA503" s="42">
        <v>9.2219999999999995</v>
      </c>
      <c r="AB503" s="42" t="s">
        <v>36</v>
      </c>
      <c r="AC503" s="42">
        <v>1</v>
      </c>
      <c r="AD503" s="42">
        <v>1</v>
      </c>
      <c r="AE503" s="42">
        <v>1084.78</v>
      </c>
    </row>
    <row r="504" spans="1:31" x14ac:dyDescent="0.2">
      <c r="A504" s="42" t="s">
        <v>917</v>
      </c>
      <c r="B504" s="42">
        <v>1</v>
      </c>
      <c r="C504" s="42" t="s">
        <v>478</v>
      </c>
      <c r="D504" s="42">
        <v>222</v>
      </c>
      <c r="E504" s="42" t="s">
        <v>468</v>
      </c>
      <c r="F504" s="42" t="s">
        <v>292</v>
      </c>
      <c r="G504" s="42">
        <v>9306</v>
      </c>
      <c r="H504" s="42" t="s">
        <v>293</v>
      </c>
      <c r="I504" s="42">
        <v>503.98</v>
      </c>
      <c r="J504" s="42">
        <v>503.98</v>
      </c>
      <c r="K504" s="42" t="b">
        <v>0</v>
      </c>
      <c r="L504" s="42">
        <v>5</v>
      </c>
      <c r="M504" s="42" t="s">
        <v>108</v>
      </c>
      <c r="N504" s="42">
        <v>27</v>
      </c>
      <c r="O504" s="42" t="s">
        <v>129</v>
      </c>
      <c r="P504" s="42">
        <v>10</v>
      </c>
      <c r="Q504" s="42" t="s">
        <v>129</v>
      </c>
      <c r="R504" s="42" t="s">
        <v>114</v>
      </c>
      <c r="U504" s="42" t="s">
        <v>121</v>
      </c>
      <c r="V504" s="42">
        <v>1</v>
      </c>
      <c r="W504" s="42" t="s">
        <v>116</v>
      </c>
      <c r="X504" s="42">
        <v>18</v>
      </c>
      <c r="Y504" s="42" t="s">
        <v>117</v>
      </c>
      <c r="Z504" s="42">
        <v>190.001</v>
      </c>
      <c r="AA504" s="42">
        <v>2.6524999999999999</v>
      </c>
      <c r="AB504" s="42" t="s">
        <v>36</v>
      </c>
      <c r="AC504" s="42">
        <v>1</v>
      </c>
      <c r="AD504" s="42">
        <v>1</v>
      </c>
      <c r="AE504" s="42">
        <v>503.98</v>
      </c>
    </row>
    <row r="505" spans="1:31" x14ac:dyDescent="0.2">
      <c r="A505" s="42" t="s">
        <v>917</v>
      </c>
      <c r="B505" s="42">
        <v>1</v>
      </c>
      <c r="C505" s="42" t="s">
        <v>478</v>
      </c>
      <c r="D505" s="42">
        <v>222</v>
      </c>
      <c r="E505" s="42" t="s">
        <v>468</v>
      </c>
      <c r="F505" s="42" t="s">
        <v>362</v>
      </c>
      <c r="G505" s="42">
        <v>10019</v>
      </c>
      <c r="H505" s="42" t="s">
        <v>363</v>
      </c>
      <c r="I505" s="42">
        <v>848.54</v>
      </c>
      <c r="J505" s="42">
        <v>848.6</v>
      </c>
      <c r="K505" s="42" t="b">
        <v>1</v>
      </c>
      <c r="L505" s="42">
        <v>5</v>
      </c>
      <c r="M505" s="42" t="s">
        <v>108</v>
      </c>
      <c r="N505" s="42">
        <v>4</v>
      </c>
      <c r="O505" s="42" t="s">
        <v>109</v>
      </c>
      <c r="P505" s="42">
        <v>6</v>
      </c>
      <c r="Q505" s="42" t="s">
        <v>109</v>
      </c>
      <c r="R505" s="42" t="s">
        <v>243</v>
      </c>
      <c r="S505" s="42">
        <v>1</v>
      </c>
      <c r="T505" s="42" t="s">
        <v>205</v>
      </c>
      <c r="U505" s="42" t="s">
        <v>115</v>
      </c>
      <c r="V505" s="42">
        <v>1</v>
      </c>
      <c r="W505" s="42" t="s">
        <v>116</v>
      </c>
      <c r="X505" s="42">
        <v>22</v>
      </c>
      <c r="Y505" s="42" t="s">
        <v>217</v>
      </c>
      <c r="Z505" s="42">
        <v>14</v>
      </c>
      <c r="AA505" s="42">
        <v>69.584999999999994</v>
      </c>
      <c r="AB505" s="42" t="s">
        <v>34</v>
      </c>
      <c r="AC505" s="42">
        <v>1.1479999999999999</v>
      </c>
      <c r="AD505" s="42">
        <v>1</v>
      </c>
      <c r="AE505" s="42">
        <v>848.6</v>
      </c>
    </row>
    <row r="506" spans="1:31" x14ac:dyDescent="0.2">
      <c r="A506" s="42" t="s">
        <v>917</v>
      </c>
      <c r="B506" s="42">
        <v>1</v>
      </c>
      <c r="C506" s="42" t="s">
        <v>402</v>
      </c>
      <c r="D506" s="42">
        <v>229</v>
      </c>
      <c r="E506" s="42" t="s">
        <v>405</v>
      </c>
      <c r="F506" s="42" t="s">
        <v>636</v>
      </c>
      <c r="G506" s="42">
        <v>2504</v>
      </c>
      <c r="H506" s="42" t="s">
        <v>637</v>
      </c>
      <c r="I506" s="42">
        <v>1243498.56</v>
      </c>
      <c r="J506" s="42">
        <v>1243498.56</v>
      </c>
      <c r="K506" s="42" t="b">
        <v>0</v>
      </c>
      <c r="L506" s="42">
        <v>11</v>
      </c>
      <c r="M506" s="42" t="s">
        <v>238</v>
      </c>
      <c r="N506" s="42">
        <v>1</v>
      </c>
      <c r="O506" s="42" t="s">
        <v>112</v>
      </c>
      <c r="P506" s="42">
        <v>40</v>
      </c>
      <c r="Q506" s="42" t="s">
        <v>638</v>
      </c>
      <c r="R506" s="42" t="s">
        <v>114</v>
      </c>
      <c r="U506" s="42" t="s">
        <v>121</v>
      </c>
      <c r="V506" s="42">
        <v>1</v>
      </c>
      <c r="W506" s="42" t="s">
        <v>116</v>
      </c>
      <c r="X506" s="42">
        <v>18</v>
      </c>
      <c r="Y506" s="42" t="s">
        <v>117</v>
      </c>
      <c r="Z506" s="42">
        <v>319492.96299999999</v>
      </c>
      <c r="AA506" s="42">
        <v>3.8921000000000001</v>
      </c>
      <c r="AB506" s="42" t="s">
        <v>36</v>
      </c>
      <c r="AC506" s="42">
        <v>1</v>
      </c>
      <c r="AD506" s="42">
        <v>1</v>
      </c>
      <c r="AE506" s="42">
        <v>1243498.56</v>
      </c>
    </row>
    <row r="507" spans="1:31" x14ac:dyDescent="0.2">
      <c r="A507" s="42" t="s">
        <v>917</v>
      </c>
      <c r="B507" s="42">
        <v>1</v>
      </c>
      <c r="C507" s="42" t="s">
        <v>402</v>
      </c>
      <c r="D507" s="42">
        <v>229</v>
      </c>
      <c r="E507" s="42" t="s">
        <v>405</v>
      </c>
      <c r="F507" s="42" t="s">
        <v>639</v>
      </c>
      <c r="G507" s="42">
        <v>2627</v>
      </c>
      <c r="H507" s="42" t="s">
        <v>640</v>
      </c>
      <c r="I507" s="42">
        <v>858856.26</v>
      </c>
      <c r="J507" s="42">
        <v>859631.93</v>
      </c>
      <c r="K507" s="42" t="b">
        <v>0</v>
      </c>
      <c r="L507" s="42">
        <v>5</v>
      </c>
      <c r="M507" s="42" t="s">
        <v>108</v>
      </c>
      <c r="N507" s="42">
        <v>29</v>
      </c>
      <c r="O507" s="42" t="s">
        <v>142</v>
      </c>
      <c r="P507" s="42">
        <v>3</v>
      </c>
      <c r="Q507" s="42" t="s">
        <v>325</v>
      </c>
      <c r="R507" s="42" t="s">
        <v>114</v>
      </c>
      <c r="U507" s="42" t="s">
        <v>121</v>
      </c>
      <c r="V507" s="42">
        <v>1</v>
      </c>
      <c r="W507" s="42" t="s">
        <v>116</v>
      </c>
      <c r="X507" s="42">
        <v>18</v>
      </c>
      <c r="Y507" s="42" t="s">
        <v>117</v>
      </c>
      <c r="Z507" s="42">
        <v>310269.23</v>
      </c>
      <c r="AA507" s="42">
        <v>2.7706</v>
      </c>
      <c r="AB507" s="42" t="s">
        <v>36</v>
      </c>
      <c r="AC507" s="42">
        <v>1</v>
      </c>
      <c r="AD507" s="42">
        <v>1</v>
      </c>
      <c r="AE507" s="42">
        <v>859631.93</v>
      </c>
    </row>
    <row r="508" spans="1:31" x14ac:dyDescent="0.2">
      <c r="A508" s="42" t="s">
        <v>917</v>
      </c>
      <c r="B508" s="42">
        <v>1</v>
      </c>
      <c r="C508" s="42" t="s">
        <v>402</v>
      </c>
      <c r="D508" s="42">
        <v>229</v>
      </c>
      <c r="E508" s="42" t="s">
        <v>405</v>
      </c>
      <c r="F508" s="42" t="s">
        <v>840</v>
      </c>
      <c r="G508" s="42">
        <v>2680</v>
      </c>
      <c r="H508" s="42" t="s">
        <v>841</v>
      </c>
      <c r="I508" s="42">
        <v>719207.5</v>
      </c>
      <c r="J508" s="42">
        <v>719207.5</v>
      </c>
      <c r="K508" s="42" t="b">
        <v>0</v>
      </c>
      <c r="L508" s="42">
        <v>5</v>
      </c>
      <c r="M508" s="42" t="s">
        <v>108</v>
      </c>
      <c r="N508" s="42">
        <v>28</v>
      </c>
      <c r="O508" s="42" t="s">
        <v>120</v>
      </c>
      <c r="P508" s="42">
        <v>9</v>
      </c>
      <c r="Q508" s="42" t="s">
        <v>320</v>
      </c>
      <c r="R508" s="42" t="s">
        <v>114</v>
      </c>
      <c r="U508" s="42" t="s">
        <v>121</v>
      </c>
      <c r="V508" s="42">
        <v>1</v>
      </c>
      <c r="W508" s="42" t="s">
        <v>116</v>
      </c>
      <c r="X508" s="42">
        <v>18</v>
      </c>
      <c r="Y508" s="42" t="s">
        <v>117</v>
      </c>
      <c r="Z508" s="42">
        <v>191339.65700000001</v>
      </c>
      <c r="AA508" s="42">
        <v>3.7587999999999999</v>
      </c>
      <c r="AB508" s="42" t="s">
        <v>36</v>
      </c>
      <c r="AC508" s="42">
        <v>1</v>
      </c>
      <c r="AD508" s="42">
        <v>1</v>
      </c>
      <c r="AE508" s="42">
        <v>719207.5</v>
      </c>
    </row>
    <row r="509" spans="1:31" x14ac:dyDescent="0.2">
      <c r="A509" s="42" t="s">
        <v>917</v>
      </c>
      <c r="B509" s="42">
        <v>1</v>
      </c>
      <c r="C509" s="42" t="s">
        <v>402</v>
      </c>
      <c r="D509" s="42">
        <v>229</v>
      </c>
      <c r="E509" s="42" t="s">
        <v>405</v>
      </c>
      <c r="F509" s="42" t="s">
        <v>132</v>
      </c>
      <c r="G509" s="42">
        <v>2856</v>
      </c>
      <c r="H509" s="42" t="s">
        <v>133</v>
      </c>
      <c r="I509" s="42">
        <v>2356715.66</v>
      </c>
      <c r="J509" s="42">
        <v>2356715.66</v>
      </c>
      <c r="K509" s="42" t="b">
        <v>0</v>
      </c>
      <c r="L509" s="42">
        <v>5</v>
      </c>
      <c r="M509" s="42" t="s">
        <v>108</v>
      </c>
      <c r="N509" s="42">
        <v>4</v>
      </c>
      <c r="O509" s="42" t="s">
        <v>109</v>
      </c>
      <c r="P509" s="42">
        <v>6</v>
      </c>
      <c r="Q509" s="42" t="s">
        <v>109</v>
      </c>
      <c r="R509" s="42" t="s">
        <v>114</v>
      </c>
      <c r="U509" s="42" t="s">
        <v>121</v>
      </c>
      <c r="V509" s="42">
        <v>1</v>
      </c>
      <c r="W509" s="42" t="s">
        <v>116</v>
      </c>
      <c r="X509" s="42">
        <v>18</v>
      </c>
      <c r="Y509" s="42" t="s">
        <v>117</v>
      </c>
      <c r="Z509" s="42">
        <v>681505.93</v>
      </c>
      <c r="AA509" s="42">
        <v>3.4581</v>
      </c>
      <c r="AB509" s="42" t="s">
        <v>36</v>
      </c>
      <c r="AC509" s="42">
        <v>1</v>
      </c>
      <c r="AD509" s="42">
        <v>1</v>
      </c>
      <c r="AE509" s="42">
        <v>2356715.66</v>
      </c>
    </row>
    <row r="510" spans="1:31" x14ac:dyDescent="0.2">
      <c r="A510" s="42" t="s">
        <v>917</v>
      </c>
      <c r="B510" s="42">
        <v>1</v>
      </c>
      <c r="C510" s="42" t="s">
        <v>402</v>
      </c>
      <c r="D510" s="42">
        <v>229</v>
      </c>
      <c r="E510" s="42" t="s">
        <v>405</v>
      </c>
      <c r="F510" s="42" t="s">
        <v>136</v>
      </c>
      <c r="G510" s="42">
        <v>2874</v>
      </c>
      <c r="H510" s="42" t="s">
        <v>137</v>
      </c>
      <c r="I510" s="42">
        <v>2935280.33</v>
      </c>
      <c r="J510" s="42">
        <v>2935280.33</v>
      </c>
      <c r="K510" s="42" t="b">
        <v>0</v>
      </c>
      <c r="L510" s="42">
        <v>4</v>
      </c>
      <c r="M510" s="42" t="s">
        <v>128</v>
      </c>
      <c r="N510" s="42">
        <v>2</v>
      </c>
      <c r="O510" s="42" t="s">
        <v>122</v>
      </c>
      <c r="P510" s="42">
        <v>14</v>
      </c>
      <c r="Q510" s="42" t="s">
        <v>323</v>
      </c>
      <c r="R510" s="42" t="s">
        <v>114</v>
      </c>
      <c r="U510" s="42" t="s">
        <v>121</v>
      </c>
      <c r="V510" s="42">
        <v>1</v>
      </c>
      <c r="W510" s="42" t="s">
        <v>116</v>
      </c>
      <c r="X510" s="42">
        <v>18</v>
      </c>
      <c r="Y510" s="42" t="s">
        <v>117</v>
      </c>
      <c r="Z510" s="42">
        <v>1407133.43</v>
      </c>
      <c r="AA510" s="42">
        <v>2.0859999999999999</v>
      </c>
      <c r="AB510" s="42" t="s">
        <v>36</v>
      </c>
      <c r="AC510" s="42">
        <v>1</v>
      </c>
      <c r="AD510" s="42">
        <v>1</v>
      </c>
      <c r="AE510" s="42">
        <v>2935280.33</v>
      </c>
    </row>
    <row r="511" spans="1:31" x14ac:dyDescent="0.2">
      <c r="A511" s="42" t="s">
        <v>917</v>
      </c>
      <c r="B511" s="42">
        <v>1</v>
      </c>
      <c r="C511" s="42" t="s">
        <v>402</v>
      </c>
      <c r="D511" s="42">
        <v>229</v>
      </c>
      <c r="E511" s="42" t="s">
        <v>405</v>
      </c>
      <c r="F511" s="42" t="s">
        <v>207</v>
      </c>
      <c r="G511" s="42">
        <v>2898</v>
      </c>
      <c r="H511" s="42" t="s">
        <v>208</v>
      </c>
      <c r="I511" s="42">
        <v>1043606.73</v>
      </c>
      <c r="J511" s="42">
        <v>1043606.73</v>
      </c>
      <c r="K511" s="42" t="b">
        <v>0</v>
      </c>
      <c r="L511" s="42">
        <v>14</v>
      </c>
      <c r="M511" s="42" t="s">
        <v>331</v>
      </c>
      <c r="N511" s="42">
        <v>1</v>
      </c>
      <c r="O511" s="42" t="s">
        <v>112</v>
      </c>
      <c r="P511" s="42">
        <v>22</v>
      </c>
      <c r="Q511" s="42" t="s">
        <v>209</v>
      </c>
      <c r="R511" s="42" t="s">
        <v>114</v>
      </c>
      <c r="U511" s="42" t="s">
        <v>121</v>
      </c>
      <c r="V511" s="42">
        <v>1</v>
      </c>
      <c r="W511" s="42" t="s">
        <v>116</v>
      </c>
      <c r="X511" s="42">
        <v>18</v>
      </c>
      <c r="Y511" s="42" t="s">
        <v>117</v>
      </c>
      <c r="Z511" s="42">
        <v>1477568.64</v>
      </c>
      <c r="AA511" s="42">
        <v>0.70630000000000004</v>
      </c>
      <c r="AB511" s="42" t="s">
        <v>36</v>
      </c>
      <c r="AC511" s="42">
        <v>1</v>
      </c>
      <c r="AD511" s="42">
        <v>1</v>
      </c>
      <c r="AE511" s="42">
        <v>1043606.73</v>
      </c>
    </row>
    <row r="512" spans="1:31" x14ac:dyDescent="0.2">
      <c r="A512" s="42" t="s">
        <v>917</v>
      </c>
      <c r="B512" s="42">
        <v>1</v>
      </c>
      <c r="C512" s="42" t="s">
        <v>402</v>
      </c>
      <c r="D512" s="42">
        <v>229</v>
      </c>
      <c r="E512" s="42" t="s">
        <v>405</v>
      </c>
      <c r="F512" s="42" t="s">
        <v>842</v>
      </c>
      <c r="G512" s="42">
        <v>2941</v>
      </c>
      <c r="H512" s="42" t="s">
        <v>843</v>
      </c>
      <c r="I512" s="42">
        <v>889630.4</v>
      </c>
      <c r="J512" s="42">
        <v>889630.4</v>
      </c>
      <c r="K512" s="42" t="b">
        <v>0</v>
      </c>
      <c r="L512" s="42">
        <v>5</v>
      </c>
      <c r="M512" s="42" t="s">
        <v>108</v>
      </c>
      <c r="N512" s="42">
        <v>5</v>
      </c>
      <c r="O512" s="42" t="s">
        <v>143</v>
      </c>
      <c r="P512" s="42">
        <v>55</v>
      </c>
      <c r="Q512" s="42" t="s">
        <v>143</v>
      </c>
      <c r="R512" s="42" t="s">
        <v>114</v>
      </c>
      <c r="U512" s="42" t="s">
        <v>115</v>
      </c>
      <c r="V512" s="42">
        <v>1</v>
      </c>
      <c r="W512" s="42" t="s">
        <v>116</v>
      </c>
      <c r="X512" s="42">
        <v>18</v>
      </c>
      <c r="Y512" s="42" t="s">
        <v>117</v>
      </c>
      <c r="Z512" s="42">
        <v>436628.4155</v>
      </c>
      <c r="AA512" s="42">
        <v>2.0375000000000001</v>
      </c>
      <c r="AB512" s="42" t="s">
        <v>36</v>
      </c>
      <c r="AC512" s="42">
        <v>1</v>
      </c>
      <c r="AD512" s="42">
        <v>1</v>
      </c>
      <c r="AE512" s="42">
        <v>889630.4</v>
      </c>
    </row>
    <row r="513" spans="1:31" x14ac:dyDescent="0.2">
      <c r="A513" s="42" t="s">
        <v>917</v>
      </c>
      <c r="B513" s="42">
        <v>1</v>
      </c>
      <c r="C513" s="42" t="s">
        <v>402</v>
      </c>
      <c r="D513" s="42">
        <v>229</v>
      </c>
      <c r="E513" s="42" t="s">
        <v>405</v>
      </c>
      <c r="F513" s="42" t="s">
        <v>533</v>
      </c>
      <c r="G513" s="42">
        <v>3991</v>
      </c>
      <c r="H513" s="42" t="s">
        <v>534</v>
      </c>
      <c r="I513" s="42">
        <v>737546.05</v>
      </c>
      <c r="J513" s="42">
        <v>737546.05</v>
      </c>
      <c r="K513" s="42" t="b">
        <v>0</v>
      </c>
      <c r="L513" s="42">
        <v>5</v>
      </c>
      <c r="M513" s="42" t="s">
        <v>108</v>
      </c>
      <c r="N513" s="42">
        <v>28</v>
      </c>
      <c r="O513" s="42" t="s">
        <v>120</v>
      </c>
      <c r="P513" s="42">
        <v>9</v>
      </c>
      <c r="Q513" s="42" t="s">
        <v>320</v>
      </c>
      <c r="R513" s="42" t="s">
        <v>114</v>
      </c>
      <c r="U513" s="42" t="s">
        <v>121</v>
      </c>
      <c r="V513" s="42">
        <v>1</v>
      </c>
      <c r="W513" s="42" t="s">
        <v>116</v>
      </c>
      <c r="X513" s="42">
        <v>18</v>
      </c>
      <c r="Y513" s="42" t="s">
        <v>117</v>
      </c>
      <c r="Z513" s="42">
        <v>324724.18699999998</v>
      </c>
      <c r="AA513" s="42">
        <v>2.2713000000000001</v>
      </c>
      <c r="AB513" s="42" t="s">
        <v>36</v>
      </c>
      <c r="AC513" s="42">
        <v>1</v>
      </c>
      <c r="AD513" s="42">
        <v>1</v>
      </c>
      <c r="AE513" s="42">
        <v>737546.05</v>
      </c>
    </row>
    <row r="514" spans="1:31" x14ac:dyDescent="0.2">
      <c r="A514" s="42" t="s">
        <v>917</v>
      </c>
      <c r="B514" s="42">
        <v>1</v>
      </c>
      <c r="C514" s="42" t="s">
        <v>402</v>
      </c>
      <c r="D514" s="42">
        <v>229</v>
      </c>
      <c r="E514" s="42" t="s">
        <v>405</v>
      </c>
      <c r="F514" s="42" t="s">
        <v>160</v>
      </c>
      <c r="G514" s="42">
        <v>4100</v>
      </c>
      <c r="H514" s="42" t="s">
        <v>161</v>
      </c>
      <c r="I514" s="42">
        <v>848705.34</v>
      </c>
      <c r="J514" s="42">
        <v>848705.34</v>
      </c>
      <c r="K514" s="42" t="b">
        <v>0</v>
      </c>
      <c r="L514" s="42">
        <v>5</v>
      </c>
      <c r="M514" s="42" t="s">
        <v>108</v>
      </c>
      <c r="N514" s="42">
        <v>2</v>
      </c>
      <c r="O514" s="42" t="s">
        <v>122</v>
      </c>
      <c r="P514" s="42">
        <v>2</v>
      </c>
      <c r="Q514" s="42" t="s">
        <v>322</v>
      </c>
      <c r="R514" s="42" t="s">
        <v>114</v>
      </c>
      <c r="U514" s="42" t="s">
        <v>121</v>
      </c>
      <c r="V514" s="42">
        <v>1</v>
      </c>
      <c r="W514" s="42" t="s">
        <v>116</v>
      </c>
      <c r="X514" s="42">
        <v>18</v>
      </c>
      <c r="Y514" s="42" t="s">
        <v>117</v>
      </c>
      <c r="Z514" s="42">
        <v>329338.50799999997</v>
      </c>
      <c r="AA514" s="42">
        <v>2.577</v>
      </c>
      <c r="AB514" s="42" t="s">
        <v>36</v>
      </c>
      <c r="AC514" s="42">
        <v>1</v>
      </c>
      <c r="AD514" s="42">
        <v>1</v>
      </c>
      <c r="AE514" s="42">
        <v>848705.34</v>
      </c>
    </row>
    <row r="515" spans="1:31" x14ac:dyDescent="0.2">
      <c r="A515" s="42" t="s">
        <v>917</v>
      </c>
      <c r="B515" s="42">
        <v>1</v>
      </c>
      <c r="C515" s="42" t="s">
        <v>402</v>
      </c>
      <c r="D515" s="42">
        <v>229</v>
      </c>
      <c r="E515" s="42" t="s">
        <v>405</v>
      </c>
      <c r="F515" s="42" t="s">
        <v>643</v>
      </c>
      <c r="G515" s="42">
        <v>4211</v>
      </c>
      <c r="H515" s="42" t="s">
        <v>644</v>
      </c>
      <c r="I515" s="42">
        <v>1107256.51</v>
      </c>
      <c r="J515" s="42">
        <v>1107256.51</v>
      </c>
      <c r="K515" s="42" t="b">
        <v>0</v>
      </c>
      <c r="L515" s="42">
        <v>11</v>
      </c>
      <c r="M515" s="42" t="s">
        <v>238</v>
      </c>
      <c r="N515" s="42">
        <v>1</v>
      </c>
      <c r="O515" s="42" t="s">
        <v>112</v>
      </c>
      <c r="P515" s="42">
        <v>63</v>
      </c>
      <c r="Q515" s="42" t="s">
        <v>324</v>
      </c>
      <c r="R515" s="42" t="s">
        <v>114</v>
      </c>
      <c r="U515" s="42" t="s">
        <v>121</v>
      </c>
      <c r="V515" s="42">
        <v>1</v>
      </c>
      <c r="W515" s="42" t="s">
        <v>116</v>
      </c>
      <c r="X515" s="42">
        <v>18</v>
      </c>
      <c r="Y515" s="42" t="s">
        <v>117</v>
      </c>
      <c r="Z515" s="42">
        <v>632356.66099999996</v>
      </c>
      <c r="AA515" s="42">
        <v>1.7509999999999999</v>
      </c>
      <c r="AB515" s="42" t="s">
        <v>36</v>
      </c>
      <c r="AC515" s="42">
        <v>1</v>
      </c>
      <c r="AD515" s="42">
        <v>1</v>
      </c>
      <c r="AE515" s="42">
        <v>1107256.51</v>
      </c>
    </row>
    <row r="516" spans="1:31" x14ac:dyDescent="0.2">
      <c r="A516" s="42" t="s">
        <v>917</v>
      </c>
      <c r="B516" s="42">
        <v>1</v>
      </c>
      <c r="C516" s="42" t="s">
        <v>402</v>
      </c>
      <c r="D516" s="42">
        <v>229</v>
      </c>
      <c r="E516" s="42" t="s">
        <v>405</v>
      </c>
      <c r="F516" s="42" t="s">
        <v>535</v>
      </c>
      <c r="G516" s="42">
        <v>4658</v>
      </c>
      <c r="H516" s="42" t="s">
        <v>536</v>
      </c>
      <c r="I516" s="42">
        <v>859208.42</v>
      </c>
      <c r="J516" s="42">
        <v>859208.42</v>
      </c>
      <c r="K516" s="42" t="b">
        <v>0</v>
      </c>
      <c r="L516" s="42">
        <v>5</v>
      </c>
      <c r="M516" s="42" t="s">
        <v>108</v>
      </c>
      <c r="N516" s="42">
        <v>2</v>
      </c>
      <c r="O516" s="42" t="s">
        <v>122</v>
      </c>
      <c r="P516" s="42">
        <v>1</v>
      </c>
      <c r="Q516" s="42" t="s">
        <v>326</v>
      </c>
      <c r="R516" s="42" t="s">
        <v>114</v>
      </c>
      <c r="U516" s="42" t="s">
        <v>115</v>
      </c>
      <c r="V516" s="42">
        <v>1</v>
      </c>
      <c r="W516" s="42" t="s">
        <v>116</v>
      </c>
      <c r="X516" s="42">
        <v>18</v>
      </c>
      <c r="Y516" s="42" t="s">
        <v>117</v>
      </c>
      <c r="Z516" s="42">
        <v>67547.831999999995</v>
      </c>
      <c r="AA516" s="42">
        <v>12.72</v>
      </c>
      <c r="AB516" s="42" t="s">
        <v>36</v>
      </c>
      <c r="AC516" s="42">
        <v>1</v>
      </c>
      <c r="AD516" s="42">
        <v>1</v>
      </c>
      <c r="AE516" s="42">
        <v>859208.42</v>
      </c>
    </row>
    <row r="517" spans="1:31" x14ac:dyDescent="0.2">
      <c r="A517" s="42" t="s">
        <v>917</v>
      </c>
      <c r="B517" s="42">
        <v>1</v>
      </c>
      <c r="C517" s="42" t="s">
        <v>402</v>
      </c>
      <c r="D517" s="42">
        <v>229</v>
      </c>
      <c r="E517" s="42" t="s">
        <v>405</v>
      </c>
      <c r="F517" s="42" t="s">
        <v>858</v>
      </c>
      <c r="G517" s="42">
        <v>6733</v>
      </c>
      <c r="H517" s="42" t="s">
        <v>859</v>
      </c>
      <c r="I517" s="42">
        <v>915708.38</v>
      </c>
      <c r="J517" s="42">
        <v>915708.38</v>
      </c>
      <c r="K517" s="42" t="b">
        <v>0</v>
      </c>
      <c r="L517" s="42">
        <v>4</v>
      </c>
      <c r="M517" s="42" t="s">
        <v>128</v>
      </c>
      <c r="N517" s="42">
        <v>2</v>
      </c>
      <c r="O517" s="42" t="s">
        <v>122</v>
      </c>
      <c r="P517" s="42">
        <v>122</v>
      </c>
      <c r="Q517" s="42" t="s">
        <v>346</v>
      </c>
      <c r="R517" s="42" t="s">
        <v>114</v>
      </c>
      <c r="U517" s="42" t="s">
        <v>121</v>
      </c>
      <c r="V517" s="42">
        <v>1</v>
      </c>
      <c r="W517" s="42" t="s">
        <v>116</v>
      </c>
      <c r="X517" s="42">
        <v>18</v>
      </c>
      <c r="Y517" s="42" t="s">
        <v>117</v>
      </c>
      <c r="Z517" s="42">
        <v>961373.62690000003</v>
      </c>
      <c r="AA517" s="42">
        <v>0.95250000000000001</v>
      </c>
      <c r="AB517" s="42" t="s">
        <v>36</v>
      </c>
      <c r="AC517" s="42">
        <v>1</v>
      </c>
      <c r="AD517" s="42">
        <v>1</v>
      </c>
      <c r="AE517" s="42">
        <v>915708.38</v>
      </c>
    </row>
    <row r="518" spans="1:31" x14ac:dyDescent="0.2">
      <c r="A518" s="42" t="s">
        <v>917</v>
      </c>
      <c r="B518" s="42">
        <v>1</v>
      </c>
      <c r="C518" s="42" t="s">
        <v>402</v>
      </c>
      <c r="D518" s="42">
        <v>229</v>
      </c>
      <c r="E518" s="42" t="s">
        <v>405</v>
      </c>
      <c r="F518" s="42" t="s">
        <v>647</v>
      </c>
      <c r="G518" s="42">
        <v>6887</v>
      </c>
      <c r="H518" s="42" t="s">
        <v>648</v>
      </c>
      <c r="I518" s="42">
        <v>428854.52</v>
      </c>
      <c r="J518" s="42">
        <v>429884.43</v>
      </c>
      <c r="K518" s="42" t="b">
        <v>1</v>
      </c>
      <c r="L518" s="42">
        <v>3</v>
      </c>
      <c r="M518" s="42" t="s">
        <v>209</v>
      </c>
      <c r="N518" s="42">
        <v>2</v>
      </c>
      <c r="O518" s="42" t="s">
        <v>122</v>
      </c>
      <c r="P518" s="42">
        <v>180</v>
      </c>
      <c r="Q518" s="42" t="s">
        <v>214</v>
      </c>
      <c r="R518" s="42" t="s">
        <v>204</v>
      </c>
      <c r="S518" s="42">
        <v>1</v>
      </c>
      <c r="T518" s="42" t="s">
        <v>205</v>
      </c>
      <c r="U518" s="42" t="s">
        <v>121</v>
      </c>
      <c r="V518" s="42">
        <v>9</v>
      </c>
      <c r="W518" s="42" t="s">
        <v>206</v>
      </c>
      <c r="X518" s="42">
        <v>25</v>
      </c>
      <c r="Y518" s="42" t="s">
        <v>227</v>
      </c>
      <c r="Z518" s="42">
        <v>411964</v>
      </c>
      <c r="AA518" s="42">
        <v>1.0435000000000001</v>
      </c>
      <c r="AB518" s="42" t="s">
        <v>36</v>
      </c>
      <c r="AC518" s="42">
        <v>1</v>
      </c>
      <c r="AD518" s="42">
        <v>1</v>
      </c>
      <c r="AE518" s="42">
        <v>429884.43</v>
      </c>
    </row>
    <row r="519" spans="1:31" x14ac:dyDescent="0.2">
      <c r="A519" s="42" t="s">
        <v>917</v>
      </c>
      <c r="B519" s="42">
        <v>1</v>
      </c>
      <c r="C519" s="42" t="s">
        <v>402</v>
      </c>
      <c r="D519" s="42">
        <v>229</v>
      </c>
      <c r="E519" s="42" t="s">
        <v>405</v>
      </c>
      <c r="F519" s="42" t="s">
        <v>649</v>
      </c>
      <c r="G519" s="42">
        <v>6895</v>
      </c>
      <c r="H519" s="42" t="s">
        <v>650</v>
      </c>
      <c r="I519" s="42">
        <v>496973.62</v>
      </c>
      <c r="J519" s="42">
        <v>496973.62</v>
      </c>
      <c r="K519" s="42" t="b">
        <v>0</v>
      </c>
      <c r="L519" s="42">
        <v>2</v>
      </c>
      <c r="M519" s="42" t="s">
        <v>248</v>
      </c>
      <c r="N519" s="42">
        <v>1</v>
      </c>
      <c r="O519" s="42" t="s">
        <v>112</v>
      </c>
      <c r="P519" s="42">
        <v>63</v>
      </c>
      <c r="Q519" s="42" t="s">
        <v>324</v>
      </c>
      <c r="R519" s="42" t="s">
        <v>114</v>
      </c>
      <c r="U519" s="42" t="s">
        <v>115</v>
      </c>
      <c r="V519" s="42">
        <v>1</v>
      </c>
      <c r="W519" s="42" t="s">
        <v>116</v>
      </c>
      <c r="X519" s="42">
        <v>18</v>
      </c>
      <c r="Y519" s="42" t="s">
        <v>117</v>
      </c>
      <c r="Z519" s="42">
        <v>3897.221</v>
      </c>
      <c r="AA519" s="42">
        <v>127.52</v>
      </c>
      <c r="AB519" s="42" t="s">
        <v>36</v>
      </c>
      <c r="AC519" s="42">
        <v>1</v>
      </c>
      <c r="AD519" s="42">
        <v>1</v>
      </c>
      <c r="AE519" s="42">
        <v>496973.62</v>
      </c>
    </row>
    <row r="520" spans="1:31" x14ac:dyDescent="0.2">
      <c r="A520" s="42" t="s">
        <v>917</v>
      </c>
      <c r="B520" s="42">
        <v>1</v>
      </c>
      <c r="C520" s="42" t="s">
        <v>402</v>
      </c>
      <c r="D520" s="42">
        <v>229</v>
      </c>
      <c r="E520" s="42" t="s">
        <v>405</v>
      </c>
      <c r="F520" s="42" t="s">
        <v>844</v>
      </c>
      <c r="G520" s="42">
        <v>6937</v>
      </c>
      <c r="H520" s="42" t="s">
        <v>845</v>
      </c>
      <c r="I520" s="42">
        <v>1369853.42</v>
      </c>
      <c r="J520" s="42">
        <v>1375177.27</v>
      </c>
      <c r="K520" s="42" t="b">
        <v>0</v>
      </c>
      <c r="L520" s="42">
        <v>5</v>
      </c>
      <c r="M520" s="42" t="s">
        <v>108</v>
      </c>
      <c r="N520" s="42">
        <v>2</v>
      </c>
      <c r="O520" s="42" t="s">
        <v>122</v>
      </c>
      <c r="P520" s="42">
        <v>1</v>
      </c>
      <c r="Q520" s="42" t="s">
        <v>326</v>
      </c>
      <c r="R520" s="42" t="s">
        <v>114</v>
      </c>
      <c r="U520" s="42" t="s">
        <v>121</v>
      </c>
      <c r="V520" s="42">
        <v>1</v>
      </c>
      <c r="W520" s="42" t="s">
        <v>116</v>
      </c>
      <c r="X520" s="42">
        <v>18</v>
      </c>
      <c r="Y520" s="42" t="s">
        <v>117</v>
      </c>
      <c r="Z520" s="42">
        <v>1120809.544</v>
      </c>
      <c r="AA520" s="42">
        <v>1.22695</v>
      </c>
      <c r="AB520" s="42" t="s">
        <v>36</v>
      </c>
      <c r="AC520" s="42">
        <v>1</v>
      </c>
      <c r="AD520" s="42">
        <v>1</v>
      </c>
      <c r="AE520" s="42">
        <v>1375177.27</v>
      </c>
    </row>
    <row r="521" spans="1:31" x14ac:dyDescent="0.2">
      <c r="A521" s="42" t="s">
        <v>917</v>
      </c>
      <c r="B521" s="42">
        <v>1</v>
      </c>
      <c r="C521" s="42" t="s">
        <v>402</v>
      </c>
      <c r="D521" s="42">
        <v>229</v>
      </c>
      <c r="E521" s="42" t="s">
        <v>405</v>
      </c>
      <c r="F521" s="42" t="s">
        <v>846</v>
      </c>
      <c r="G521" s="42">
        <v>6957</v>
      </c>
      <c r="H521" s="42" t="s">
        <v>847</v>
      </c>
      <c r="I521" s="42">
        <v>1794983</v>
      </c>
      <c r="J521" s="42">
        <v>1794983</v>
      </c>
      <c r="K521" s="42" t="b">
        <v>0</v>
      </c>
      <c r="L521" s="42">
        <v>5</v>
      </c>
      <c r="M521" s="42" t="s">
        <v>108</v>
      </c>
      <c r="N521" s="42">
        <v>2</v>
      </c>
      <c r="O521" s="42" t="s">
        <v>122</v>
      </c>
      <c r="P521" s="42">
        <v>1</v>
      </c>
      <c r="Q521" s="42" t="s">
        <v>326</v>
      </c>
      <c r="R521" s="42" t="s">
        <v>114</v>
      </c>
      <c r="U521" s="42" t="s">
        <v>121</v>
      </c>
      <c r="V521" s="42">
        <v>1</v>
      </c>
      <c r="W521" s="42" t="s">
        <v>116</v>
      </c>
      <c r="X521" s="42">
        <v>18</v>
      </c>
      <c r="Y521" s="42" t="s">
        <v>117</v>
      </c>
      <c r="Z521" s="42">
        <v>598826.68999999994</v>
      </c>
      <c r="AA521" s="42">
        <v>2.9975000000000001</v>
      </c>
      <c r="AB521" s="42" t="s">
        <v>36</v>
      </c>
      <c r="AC521" s="42">
        <v>1</v>
      </c>
      <c r="AD521" s="42">
        <v>1</v>
      </c>
      <c r="AE521" s="42">
        <v>1794983</v>
      </c>
    </row>
    <row r="522" spans="1:31" x14ac:dyDescent="0.2">
      <c r="A522" s="42" t="s">
        <v>917</v>
      </c>
      <c r="B522" s="42">
        <v>1</v>
      </c>
      <c r="C522" s="42" t="s">
        <v>402</v>
      </c>
      <c r="D522" s="42">
        <v>229</v>
      </c>
      <c r="E522" s="42" t="s">
        <v>405</v>
      </c>
      <c r="F522" s="42" t="s">
        <v>263</v>
      </c>
      <c r="G522" s="42">
        <v>6959</v>
      </c>
      <c r="H522" s="42" t="s">
        <v>264</v>
      </c>
      <c r="I522" s="42">
        <v>780919.78</v>
      </c>
      <c r="J522" s="42">
        <v>780919.78</v>
      </c>
      <c r="K522" s="42" t="b">
        <v>0</v>
      </c>
      <c r="L522" s="42">
        <v>2</v>
      </c>
      <c r="M522" s="42" t="s">
        <v>248</v>
      </c>
      <c r="N522" s="42">
        <v>1</v>
      </c>
      <c r="O522" s="42" t="s">
        <v>112</v>
      </c>
      <c r="P522" s="42">
        <v>63</v>
      </c>
      <c r="Q522" s="42" t="s">
        <v>324</v>
      </c>
      <c r="R522" s="42" t="s">
        <v>114</v>
      </c>
      <c r="U522" s="42" t="s">
        <v>115</v>
      </c>
      <c r="V522" s="42">
        <v>1</v>
      </c>
      <c r="W522" s="42" t="s">
        <v>116</v>
      </c>
      <c r="X522" s="42">
        <v>18</v>
      </c>
      <c r="Y522" s="42" t="s">
        <v>117</v>
      </c>
      <c r="Z522" s="42">
        <v>426289.52370000002</v>
      </c>
      <c r="AA522" s="42">
        <v>1.8319000000000001</v>
      </c>
      <c r="AB522" s="42" t="s">
        <v>36</v>
      </c>
      <c r="AC522" s="42">
        <v>1</v>
      </c>
      <c r="AD522" s="42">
        <v>1</v>
      </c>
      <c r="AE522" s="42">
        <v>780919.78</v>
      </c>
    </row>
    <row r="523" spans="1:31" x14ac:dyDescent="0.2">
      <c r="A523" s="42" t="s">
        <v>917</v>
      </c>
      <c r="B523" s="42">
        <v>1</v>
      </c>
      <c r="C523" s="42" t="s">
        <v>402</v>
      </c>
      <c r="D523" s="42">
        <v>229</v>
      </c>
      <c r="E523" s="42" t="s">
        <v>405</v>
      </c>
      <c r="F523" s="42" t="s">
        <v>201</v>
      </c>
      <c r="G523" s="42">
        <v>7000</v>
      </c>
      <c r="H523" s="42" t="s">
        <v>202</v>
      </c>
      <c r="I523" s="42">
        <v>2353791.1</v>
      </c>
      <c r="J523" s="42">
        <v>2353791.1</v>
      </c>
      <c r="K523" s="42" t="b">
        <v>0</v>
      </c>
      <c r="L523" s="42">
        <v>5</v>
      </c>
      <c r="M523" s="42" t="s">
        <v>108</v>
      </c>
      <c r="N523" s="42">
        <v>4</v>
      </c>
      <c r="O523" s="42" t="s">
        <v>109</v>
      </c>
      <c r="P523" s="42">
        <v>6</v>
      </c>
      <c r="Q523" s="42" t="s">
        <v>109</v>
      </c>
      <c r="R523" s="42" t="s">
        <v>114</v>
      </c>
      <c r="U523" s="42" t="s">
        <v>121</v>
      </c>
      <c r="V523" s="42">
        <v>1</v>
      </c>
      <c r="W523" s="42" t="s">
        <v>116</v>
      </c>
      <c r="X523" s="42">
        <v>18</v>
      </c>
      <c r="Y523" s="42" t="s">
        <v>117</v>
      </c>
      <c r="Z523" s="42">
        <v>255236.51</v>
      </c>
      <c r="AA523" s="42">
        <v>9.2219999999999995</v>
      </c>
      <c r="AB523" s="42" t="s">
        <v>36</v>
      </c>
      <c r="AC523" s="42">
        <v>1</v>
      </c>
      <c r="AD523" s="42">
        <v>1</v>
      </c>
      <c r="AE523" s="42">
        <v>2353791.1</v>
      </c>
    </row>
    <row r="524" spans="1:31" x14ac:dyDescent="0.2">
      <c r="A524" s="42" t="s">
        <v>917</v>
      </c>
      <c r="B524" s="42">
        <v>1</v>
      </c>
      <c r="C524" s="42" t="s">
        <v>402</v>
      </c>
      <c r="D524" s="42">
        <v>229</v>
      </c>
      <c r="E524" s="42" t="s">
        <v>405</v>
      </c>
      <c r="F524" s="42" t="s">
        <v>257</v>
      </c>
      <c r="G524" s="42">
        <v>7296</v>
      </c>
      <c r="H524" s="42" t="s">
        <v>258</v>
      </c>
      <c r="I524" s="42">
        <v>421412.87</v>
      </c>
      <c r="J524" s="42">
        <v>423173.65</v>
      </c>
      <c r="K524" s="42" t="b">
        <v>1</v>
      </c>
      <c r="L524" s="42">
        <v>5</v>
      </c>
      <c r="M524" s="42" t="s">
        <v>108</v>
      </c>
      <c r="N524" s="42">
        <v>2</v>
      </c>
      <c r="O524" s="42" t="s">
        <v>122</v>
      </c>
      <c r="P524" s="42">
        <v>22</v>
      </c>
      <c r="Q524" s="42" t="s">
        <v>209</v>
      </c>
      <c r="R524" s="42" t="s">
        <v>204</v>
      </c>
      <c r="S524" s="42">
        <v>1</v>
      </c>
      <c r="T524" s="42" t="s">
        <v>205</v>
      </c>
      <c r="U524" s="42" t="s">
        <v>229</v>
      </c>
      <c r="V524" s="42">
        <v>9</v>
      </c>
      <c r="W524" s="42" t="s">
        <v>206</v>
      </c>
      <c r="X524" s="42">
        <v>4</v>
      </c>
      <c r="Y524" s="42" t="s">
        <v>230</v>
      </c>
      <c r="Z524" s="42">
        <v>293463</v>
      </c>
      <c r="AA524" s="42">
        <v>1.4419999999999999</v>
      </c>
      <c r="AB524" s="42" t="s">
        <v>36</v>
      </c>
      <c r="AC524" s="42">
        <v>1</v>
      </c>
      <c r="AD524" s="42">
        <v>1</v>
      </c>
      <c r="AE524" s="42">
        <v>423173.65</v>
      </c>
    </row>
    <row r="525" spans="1:31" x14ac:dyDescent="0.2">
      <c r="A525" s="42" t="s">
        <v>917</v>
      </c>
      <c r="B525" s="42">
        <v>1</v>
      </c>
      <c r="C525" s="42" t="s">
        <v>402</v>
      </c>
      <c r="D525" s="42">
        <v>229</v>
      </c>
      <c r="E525" s="42" t="s">
        <v>405</v>
      </c>
      <c r="F525" s="42" t="s">
        <v>255</v>
      </c>
      <c r="G525" s="42">
        <v>7297</v>
      </c>
      <c r="H525" s="42" t="s">
        <v>256</v>
      </c>
      <c r="I525" s="42">
        <v>434336.51</v>
      </c>
      <c r="J525" s="42">
        <v>434883.88</v>
      </c>
      <c r="K525" s="42" t="b">
        <v>1</v>
      </c>
      <c r="L525" s="42">
        <v>5</v>
      </c>
      <c r="M525" s="42" t="s">
        <v>108</v>
      </c>
      <c r="N525" s="42">
        <v>2</v>
      </c>
      <c r="O525" s="42" t="s">
        <v>122</v>
      </c>
      <c r="P525" s="42">
        <v>80</v>
      </c>
      <c r="Q525" s="42" t="s">
        <v>213</v>
      </c>
      <c r="R525" s="42" t="s">
        <v>204</v>
      </c>
      <c r="S525" s="42">
        <v>1</v>
      </c>
      <c r="T525" s="42" t="s">
        <v>205</v>
      </c>
      <c r="U525" s="42" t="s">
        <v>121</v>
      </c>
      <c r="V525" s="42">
        <v>9</v>
      </c>
      <c r="W525" s="42" t="s">
        <v>206</v>
      </c>
      <c r="X525" s="42">
        <v>4</v>
      </c>
      <c r="Y525" s="42" t="s">
        <v>230</v>
      </c>
      <c r="Z525" s="42">
        <v>273684</v>
      </c>
      <c r="AA525" s="42">
        <v>1.589</v>
      </c>
      <c r="AB525" s="42" t="s">
        <v>36</v>
      </c>
      <c r="AC525" s="42">
        <v>1</v>
      </c>
      <c r="AD525" s="42">
        <v>1</v>
      </c>
      <c r="AE525" s="42">
        <v>434883.88</v>
      </c>
    </row>
    <row r="526" spans="1:31" x14ac:dyDescent="0.2">
      <c r="A526" s="42" t="s">
        <v>917</v>
      </c>
      <c r="B526" s="42">
        <v>1</v>
      </c>
      <c r="C526" s="42" t="s">
        <v>402</v>
      </c>
      <c r="D526" s="42">
        <v>229</v>
      </c>
      <c r="E526" s="42" t="s">
        <v>405</v>
      </c>
      <c r="F526" s="42" t="s">
        <v>261</v>
      </c>
      <c r="G526" s="42">
        <v>7299</v>
      </c>
      <c r="H526" s="42" t="s">
        <v>262</v>
      </c>
      <c r="I526" s="42">
        <v>426043.39</v>
      </c>
      <c r="J526" s="42">
        <v>426875.51</v>
      </c>
      <c r="K526" s="42" t="b">
        <v>1</v>
      </c>
      <c r="L526" s="42">
        <v>5</v>
      </c>
      <c r="M526" s="42" t="s">
        <v>108</v>
      </c>
      <c r="N526" s="42">
        <v>2</v>
      </c>
      <c r="O526" s="42" t="s">
        <v>122</v>
      </c>
      <c r="P526" s="42">
        <v>80</v>
      </c>
      <c r="Q526" s="42" t="s">
        <v>213</v>
      </c>
      <c r="R526" s="42" t="s">
        <v>204</v>
      </c>
      <c r="S526" s="42">
        <v>1</v>
      </c>
      <c r="T526" s="42" t="s">
        <v>205</v>
      </c>
      <c r="U526" s="42" t="s">
        <v>121</v>
      </c>
      <c r="V526" s="42">
        <v>9</v>
      </c>
      <c r="W526" s="42" t="s">
        <v>206</v>
      </c>
      <c r="X526" s="42">
        <v>4</v>
      </c>
      <c r="Y526" s="42" t="s">
        <v>230</v>
      </c>
      <c r="Z526" s="42">
        <v>277372</v>
      </c>
      <c r="AA526" s="42">
        <v>1.5389999999999999</v>
      </c>
      <c r="AB526" s="42" t="s">
        <v>36</v>
      </c>
      <c r="AC526" s="42">
        <v>1</v>
      </c>
      <c r="AD526" s="42">
        <v>1</v>
      </c>
      <c r="AE526" s="42">
        <v>426875.51</v>
      </c>
    </row>
    <row r="527" spans="1:31" x14ac:dyDescent="0.2">
      <c r="A527" s="42" t="s">
        <v>917</v>
      </c>
      <c r="B527" s="42">
        <v>1</v>
      </c>
      <c r="C527" s="42" t="s">
        <v>402</v>
      </c>
      <c r="D527" s="42">
        <v>229</v>
      </c>
      <c r="E527" s="42" t="s">
        <v>405</v>
      </c>
      <c r="F527" s="42" t="s">
        <v>848</v>
      </c>
      <c r="G527" s="42">
        <v>10102</v>
      </c>
      <c r="H527" s="42" t="s">
        <v>849</v>
      </c>
      <c r="I527" s="42">
        <v>1142939.5</v>
      </c>
      <c r="J527" s="42">
        <v>1142939.5</v>
      </c>
      <c r="K527" s="42" t="b">
        <v>0</v>
      </c>
      <c r="L527" s="42">
        <v>5</v>
      </c>
      <c r="M527" s="42" t="s">
        <v>108</v>
      </c>
      <c r="N527" s="42">
        <v>4</v>
      </c>
      <c r="O527" s="42" t="s">
        <v>109</v>
      </c>
      <c r="P527" s="42">
        <v>26</v>
      </c>
      <c r="Q527" s="42" t="s">
        <v>327</v>
      </c>
      <c r="R527" s="42" t="s">
        <v>114</v>
      </c>
      <c r="U527" s="42" t="s">
        <v>121</v>
      </c>
      <c r="V527" s="42">
        <v>1</v>
      </c>
      <c r="W527" s="42" t="s">
        <v>116</v>
      </c>
      <c r="X527" s="42">
        <v>18</v>
      </c>
      <c r="Y527" s="42" t="s">
        <v>117</v>
      </c>
      <c r="Z527" s="42">
        <v>63243.663999999997</v>
      </c>
      <c r="AA527" s="42">
        <v>18.071999999999999</v>
      </c>
      <c r="AB527" s="42" t="s">
        <v>36</v>
      </c>
      <c r="AC527" s="42">
        <v>1</v>
      </c>
      <c r="AD527" s="42">
        <v>1</v>
      </c>
      <c r="AE527" s="42">
        <v>1142939.5</v>
      </c>
    </row>
    <row r="528" spans="1:31" x14ac:dyDescent="0.2">
      <c r="A528" s="42" t="s">
        <v>917</v>
      </c>
      <c r="B528" s="42">
        <v>1</v>
      </c>
      <c r="C528" s="42" t="s">
        <v>402</v>
      </c>
      <c r="D528" s="42">
        <v>229</v>
      </c>
      <c r="E528" s="42" t="s">
        <v>405</v>
      </c>
      <c r="F528" s="42" t="s">
        <v>850</v>
      </c>
      <c r="G528" s="42">
        <v>11152</v>
      </c>
      <c r="H528" s="42" t="s">
        <v>851</v>
      </c>
      <c r="I528" s="42">
        <v>1334703.81</v>
      </c>
      <c r="J528" s="42">
        <v>1334703.81</v>
      </c>
      <c r="K528" s="42" t="b">
        <v>0</v>
      </c>
      <c r="L528" s="42">
        <v>5</v>
      </c>
      <c r="M528" s="42" t="s">
        <v>108</v>
      </c>
      <c r="N528" s="42">
        <v>27</v>
      </c>
      <c r="O528" s="42" t="s">
        <v>129</v>
      </c>
      <c r="P528" s="42">
        <v>10</v>
      </c>
      <c r="Q528" s="42" t="s">
        <v>129</v>
      </c>
      <c r="R528" s="42" t="s">
        <v>114</v>
      </c>
      <c r="U528" s="42" t="s">
        <v>121</v>
      </c>
      <c r="V528" s="42">
        <v>1</v>
      </c>
      <c r="W528" s="42" t="s">
        <v>116</v>
      </c>
      <c r="X528" s="42">
        <v>18</v>
      </c>
      <c r="Y528" s="42" t="s">
        <v>117</v>
      </c>
      <c r="Z528" s="42">
        <v>679411.46</v>
      </c>
      <c r="AA528" s="42">
        <v>1.9644999999999999</v>
      </c>
      <c r="AB528" s="42" t="s">
        <v>36</v>
      </c>
      <c r="AC528" s="42">
        <v>1</v>
      </c>
      <c r="AD528" s="42">
        <v>1</v>
      </c>
      <c r="AE528" s="42">
        <v>1334703.81</v>
      </c>
    </row>
    <row r="529" spans="1:31" x14ac:dyDescent="0.2">
      <c r="A529" s="42" t="s">
        <v>917</v>
      </c>
      <c r="B529" s="42">
        <v>1</v>
      </c>
      <c r="C529" s="42" t="s">
        <v>402</v>
      </c>
      <c r="D529" s="42">
        <v>229</v>
      </c>
      <c r="E529" s="42" t="s">
        <v>405</v>
      </c>
      <c r="F529" s="42" t="s">
        <v>852</v>
      </c>
      <c r="G529" s="42">
        <v>11153</v>
      </c>
      <c r="H529" s="42" t="s">
        <v>853</v>
      </c>
      <c r="I529" s="42">
        <v>858747.69</v>
      </c>
      <c r="J529" s="42">
        <v>858747.69</v>
      </c>
      <c r="K529" s="42" t="b">
        <v>0</v>
      </c>
      <c r="L529" s="42">
        <v>5</v>
      </c>
      <c r="M529" s="42" t="s">
        <v>108</v>
      </c>
      <c r="N529" s="42">
        <v>2</v>
      </c>
      <c r="O529" s="42" t="s">
        <v>122</v>
      </c>
      <c r="P529" s="42">
        <v>1</v>
      </c>
      <c r="Q529" s="42" t="s">
        <v>326</v>
      </c>
      <c r="R529" s="42" t="s">
        <v>114</v>
      </c>
      <c r="U529" s="42" t="s">
        <v>121</v>
      </c>
      <c r="V529" s="42">
        <v>1</v>
      </c>
      <c r="W529" s="42" t="s">
        <v>116</v>
      </c>
      <c r="X529" s="42">
        <v>18</v>
      </c>
      <c r="Y529" s="42" t="s">
        <v>117</v>
      </c>
      <c r="Z529" s="42">
        <v>323080.39600000001</v>
      </c>
      <c r="AA529" s="42">
        <v>2.6579999999999999</v>
      </c>
      <c r="AB529" s="42" t="s">
        <v>36</v>
      </c>
      <c r="AC529" s="42">
        <v>1</v>
      </c>
      <c r="AD529" s="42">
        <v>1</v>
      </c>
      <c r="AE529" s="42">
        <v>858747.69</v>
      </c>
    </row>
    <row r="530" spans="1:31" x14ac:dyDescent="0.2">
      <c r="A530" s="42" t="s">
        <v>917</v>
      </c>
      <c r="B530" s="42">
        <v>1</v>
      </c>
      <c r="C530" s="42" t="s">
        <v>402</v>
      </c>
      <c r="D530" s="42">
        <v>229</v>
      </c>
      <c r="E530" s="42" t="s">
        <v>405</v>
      </c>
      <c r="F530" s="42" t="s">
        <v>694</v>
      </c>
      <c r="G530" s="42">
        <v>11155</v>
      </c>
      <c r="H530" s="42" t="s">
        <v>695</v>
      </c>
      <c r="I530" s="42">
        <v>1089154.74</v>
      </c>
      <c r="J530" s="42">
        <v>1089154.74</v>
      </c>
      <c r="K530" s="42" t="b">
        <v>0</v>
      </c>
      <c r="L530" s="42">
        <v>5</v>
      </c>
      <c r="M530" s="42" t="s">
        <v>108</v>
      </c>
      <c r="N530" s="42">
        <v>5</v>
      </c>
      <c r="O530" s="42" t="s">
        <v>143</v>
      </c>
      <c r="P530" s="42">
        <v>55</v>
      </c>
      <c r="Q530" s="42" t="s">
        <v>143</v>
      </c>
      <c r="R530" s="42" t="s">
        <v>114</v>
      </c>
      <c r="U530" s="42" t="s">
        <v>115</v>
      </c>
      <c r="V530" s="42">
        <v>1</v>
      </c>
      <c r="W530" s="42" t="s">
        <v>116</v>
      </c>
      <c r="X530" s="42">
        <v>18</v>
      </c>
      <c r="Y530" s="42" t="s">
        <v>117</v>
      </c>
      <c r="Z530" s="42">
        <v>7610.99</v>
      </c>
      <c r="AA530" s="42">
        <v>143.10290000000001</v>
      </c>
      <c r="AB530" s="42" t="s">
        <v>36</v>
      </c>
      <c r="AC530" s="42">
        <v>1</v>
      </c>
      <c r="AD530" s="42">
        <v>1</v>
      </c>
      <c r="AE530" s="42">
        <v>1089154.74</v>
      </c>
    </row>
    <row r="531" spans="1:31" x14ac:dyDescent="0.2">
      <c r="A531" s="42" t="s">
        <v>917</v>
      </c>
      <c r="B531" s="42">
        <v>1</v>
      </c>
      <c r="C531" s="42" t="s">
        <v>402</v>
      </c>
      <c r="D531" s="42">
        <v>229</v>
      </c>
      <c r="E531" s="42" t="s">
        <v>405</v>
      </c>
      <c r="F531" s="42" t="s">
        <v>854</v>
      </c>
      <c r="G531" s="42">
        <v>11156</v>
      </c>
      <c r="H531" s="42" t="s">
        <v>855</v>
      </c>
      <c r="I531" s="42">
        <v>1870041.68</v>
      </c>
      <c r="J531" s="42">
        <v>1870041.68</v>
      </c>
      <c r="K531" s="42" t="b">
        <v>0</v>
      </c>
      <c r="L531" s="42">
        <v>5</v>
      </c>
      <c r="M531" s="42" t="s">
        <v>108</v>
      </c>
      <c r="N531" s="42">
        <v>4</v>
      </c>
      <c r="O531" s="42" t="s">
        <v>109</v>
      </c>
      <c r="P531" s="42">
        <v>6</v>
      </c>
      <c r="Q531" s="42" t="s">
        <v>109</v>
      </c>
      <c r="R531" s="42" t="s">
        <v>114</v>
      </c>
      <c r="U531" s="42" t="s">
        <v>121</v>
      </c>
      <c r="V531" s="42">
        <v>1</v>
      </c>
      <c r="W531" s="42" t="s">
        <v>116</v>
      </c>
      <c r="X531" s="42">
        <v>18</v>
      </c>
      <c r="Y531" s="42" t="s">
        <v>117</v>
      </c>
      <c r="Z531" s="42">
        <v>6330.2790999999997</v>
      </c>
      <c r="AA531" s="42">
        <v>295.41219999999998</v>
      </c>
      <c r="AB531" s="42" t="s">
        <v>36</v>
      </c>
      <c r="AC531" s="42">
        <v>1</v>
      </c>
      <c r="AD531" s="42">
        <v>1</v>
      </c>
      <c r="AE531" s="42">
        <v>1870041.68</v>
      </c>
    </row>
    <row r="532" spans="1:31" x14ac:dyDescent="0.2">
      <c r="A532" s="42" t="s">
        <v>917</v>
      </c>
      <c r="B532" s="42">
        <v>1</v>
      </c>
      <c r="C532" s="42" t="s">
        <v>402</v>
      </c>
      <c r="D532" s="42">
        <v>229</v>
      </c>
      <c r="E532" s="42" t="s">
        <v>405</v>
      </c>
      <c r="F532" s="42" t="s">
        <v>856</v>
      </c>
      <c r="G532" s="42">
        <v>11157</v>
      </c>
      <c r="H532" s="42" t="s">
        <v>857</v>
      </c>
      <c r="I532" s="42">
        <v>406663.81</v>
      </c>
      <c r="J532" s="42">
        <v>406663.81</v>
      </c>
      <c r="K532" s="42" t="b">
        <v>0</v>
      </c>
      <c r="L532" s="42">
        <v>5</v>
      </c>
      <c r="M532" s="42" t="s">
        <v>108</v>
      </c>
      <c r="N532" s="42">
        <v>2</v>
      </c>
      <c r="O532" s="42" t="s">
        <v>122</v>
      </c>
      <c r="P532" s="42">
        <v>2</v>
      </c>
      <c r="Q532" s="42" t="s">
        <v>322</v>
      </c>
      <c r="R532" s="42" t="s">
        <v>114</v>
      </c>
      <c r="U532" s="42" t="s">
        <v>121</v>
      </c>
      <c r="V532" s="42">
        <v>1</v>
      </c>
      <c r="W532" s="42" t="s">
        <v>116</v>
      </c>
      <c r="X532" s="42">
        <v>18</v>
      </c>
      <c r="Y532" s="42" t="s">
        <v>117</v>
      </c>
      <c r="Z532" s="42">
        <v>234929.989</v>
      </c>
      <c r="AA532" s="42">
        <v>1.7310000000000001</v>
      </c>
      <c r="AB532" s="42" t="s">
        <v>36</v>
      </c>
      <c r="AC532" s="42">
        <v>1</v>
      </c>
      <c r="AD532" s="42">
        <v>1</v>
      </c>
      <c r="AE532" s="42">
        <v>406663.81</v>
      </c>
    </row>
    <row r="533" spans="1:31" x14ac:dyDescent="0.2">
      <c r="A533" s="42" t="s">
        <v>917</v>
      </c>
      <c r="B533" s="42">
        <v>1</v>
      </c>
      <c r="C533" s="42" t="s">
        <v>402</v>
      </c>
      <c r="D533" s="42">
        <v>229</v>
      </c>
      <c r="E533" s="42" t="s">
        <v>405</v>
      </c>
      <c r="F533" s="42" t="s">
        <v>387</v>
      </c>
      <c r="G533" s="42">
        <v>11158</v>
      </c>
      <c r="H533" s="42" t="s">
        <v>388</v>
      </c>
      <c r="I533" s="42">
        <v>2927636.85</v>
      </c>
      <c r="J533" s="42">
        <v>2927636.85</v>
      </c>
      <c r="K533" s="42" t="b">
        <v>0</v>
      </c>
      <c r="L533" s="42">
        <v>4</v>
      </c>
      <c r="M533" s="42" t="s">
        <v>128</v>
      </c>
      <c r="N533" s="42">
        <v>2</v>
      </c>
      <c r="O533" s="42" t="s">
        <v>122</v>
      </c>
      <c r="P533" s="42">
        <v>14</v>
      </c>
      <c r="Q533" s="42" t="s">
        <v>323</v>
      </c>
      <c r="R533" s="42" t="s">
        <v>114</v>
      </c>
      <c r="U533" s="42" t="s">
        <v>121</v>
      </c>
      <c r="V533" s="42">
        <v>1</v>
      </c>
      <c r="W533" s="42" t="s">
        <v>116</v>
      </c>
      <c r="X533" s="42">
        <v>18</v>
      </c>
      <c r="Y533" s="42" t="s">
        <v>117</v>
      </c>
      <c r="Z533" s="42">
        <v>2960498.38</v>
      </c>
      <c r="AA533" s="42">
        <v>0.9889</v>
      </c>
      <c r="AB533" s="42" t="s">
        <v>36</v>
      </c>
      <c r="AC533" s="42">
        <v>1</v>
      </c>
      <c r="AD533" s="42">
        <v>1</v>
      </c>
      <c r="AE533" s="42">
        <v>2927636.85</v>
      </c>
    </row>
    <row r="534" spans="1:31" x14ac:dyDescent="0.2">
      <c r="A534" s="42" t="s">
        <v>917</v>
      </c>
      <c r="B534" s="42">
        <v>1</v>
      </c>
      <c r="C534" s="42" t="s">
        <v>402</v>
      </c>
      <c r="D534" s="42">
        <v>229</v>
      </c>
      <c r="E534" s="42" t="s">
        <v>405</v>
      </c>
      <c r="F534" s="42" t="s">
        <v>860</v>
      </c>
      <c r="G534" s="42">
        <v>11159</v>
      </c>
      <c r="H534" s="42" t="s">
        <v>861</v>
      </c>
      <c r="I534" s="42">
        <v>3464124.11</v>
      </c>
      <c r="J534" s="42">
        <v>3464124.11</v>
      </c>
      <c r="K534" s="42" t="b">
        <v>0</v>
      </c>
      <c r="L534" s="42">
        <v>4</v>
      </c>
      <c r="M534" s="42" t="s">
        <v>128</v>
      </c>
      <c r="N534" s="42">
        <v>2</v>
      </c>
      <c r="O534" s="42" t="s">
        <v>122</v>
      </c>
      <c r="P534" s="42">
        <v>14</v>
      </c>
      <c r="Q534" s="42" t="s">
        <v>323</v>
      </c>
      <c r="R534" s="42" t="s">
        <v>114</v>
      </c>
      <c r="U534" s="42" t="s">
        <v>115</v>
      </c>
      <c r="V534" s="42">
        <v>1</v>
      </c>
      <c r="W534" s="42" t="s">
        <v>116</v>
      </c>
      <c r="X534" s="42">
        <v>18</v>
      </c>
      <c r="Y534" s="42" t="s">
        <v>117</v>
      </c>
      <c r="Z534" s="42">
        <v>243096.429</v>
      </c>
      <c r="AA534" s="42">
        <v>14.25</v>
      </c>
      <c r="AB534" s="42" t="s">
        <v>36</v>
      </c>
      <c r="AC534" s="42">
        <v>1</v>
      </c>
      <c r="AD534" s="42">
        <v>1</v>
      </c>
      <c r="AE534" s="42">
        <v>3464124.11</v>
      </c>
    </row>
    <row r="535" spans="1:31" x14ac:dyDescent="0.2">
      <c r="A535" s="42" t="s">
        <v>917</v>
      </c>
      <c r="B535" s="42">
        <v>1</v>
      </c>
      <c r="C535" s="42" t="s">
        <v>402</v>
      </c>
      <c r="D535" s="42">
        <v>229</v>
      </c>
      <c r="E535" s="42" t="s">
        <v>405</v>
      </c>
      <c r="F535" s="42" t="s">
        <v>862</v>
      </c>
      <c r="G535" s="42">
        <v>11161</v>
      </c>
      <c r="H535" s="42" t="s">
        <v>863</v>
      </c>
      <c r="I535" s="42">
        <v>5067688.4800000004</v>
      </c>
      <c r="J535" s="42">
        <v>5067688.4800000004</v>
      </c>
      <c r="K535" s="42" t="b">
        <v>0</v>
      </c>
      <c r="L535" s="42">
        <v>4</v>
      </c>
      <c r="M535" s="42" t="s">
        <v>128</v>
      </c>
      <c r="N535" s="42">
        <v>1</v>
      </c>
      <c r="O535" s="42" t="s">
        <v>112</v>
      </c>
      <c r="P535" s="42">
        <v>38</v>
      </c>
      <c r="Q535" s="42" t="s">
        <v>378</v>
      </c>
      <c r="R535" s="42" t="s">
        <v>114</v>
      </c>
      <c r="U535" s="42" t="s">
        <v>115</v>
      </c>
      <c r="V535" s="42">
        <v>1</v>
      </c>
      <c r="W535" s="42" t="s">
        <v>116</v>
      </c>
      <c r="X535" s="42">
        <v>18</v>
      </c>
      <c r="Y535" s="42" t="s">
        <v>117</v>
      </c>
      <c r="Z535" s="42">
        <v>47294.39</v>
      </c>
      <c r="AA535" s="42">
        <v>107.152</v>
      </c>
      <c r="AB535" s="42" t="s">
        <v>36</v>
      </c>
      <c r="AC535" s="42">
        <v>1</v>
      </c>
      <c r="AD535" s="42">
        <v>1</v>
      </c>
      <c r="AE535" s="42">
        <v>5067688.4800000004</v>
      </c>
    </row>
    <row r="536" spans="1:31" x14ac:dyDescent="0.2">
      <c r="A536" s="42" t="s">
        <v>917</v>
      </c>
      <c r="B536" s="42">
        <v>1</v>
      </c>
      <c r="C536" s="42" t="s">
        <v>402</v>
      </c>
      <c r="D536" s="42">
        <v>229</v>
      </c>
      <c r="E536" s="42" t="s">
        <v>405</v>
      </c>
      <c r="F536" s="42" t="s">
        <v>864</v>
      </c>
      <c r="G536" s="42">
        <v>11163</v>
      </c>
      <c r="H536" s="42" t="s">
        <v>865</v>
      </c>
      <c r="I536" s="42">
        <v>3429681.12</v>
      </c>
      <c r="J536" s="42">
        <v>3429681.12</v>
      </c>
      <c r="K536" s="42" t="b">
        <v>0</v>
      </c>
      <c r="L536" s="42">
        <v>4</v>
      </c>
      <c r="M536" s="42" t="s">
        <v>128</v>
      </c>
      <c r="N536" s="42">
        <v>2</v>
      </c>
      <c r="O536" s="42" t="s">
        <v>122</v>
      </c>
      <c r="P536" s="42">
        <v>275</v>
      </c>
      <c r="Q536" s="42" t="s">
        <v>866</v>
      </c>
      <c r="R536" s="42" t="s">
        <v>114</v>
      </c>
      <c r="U536" s="42" t="s">
        <v>115</v>
      </c>
      <c r="V536" s="42">
        <v>1</v>
      </c>
      <c r="W536" s="42" t="s">
        <v>116</v>
      </c>
      <c r="X536" s="42">
        <v>18</v>
      </c>
      <c r="Y536" s="42" t="s">
        <v>117</v>
      </c>
      <c r="Z536" s="42">
        <v>34850.410000000003</v>
      </c>
      <c r="AA536" s="42">
        <v>98.411500000000004</v>
      </c>
      <c r="AB536" s="42" t="s">
        <v>36</v>
      </c>
      <c r="AC536" s="42">
        <v>1</v>
      </c>
      <c r="AD536" s="42">
        <v>1</v>
      </c>
      <c r="AE536" s="42">
        <v>3429681.12</v>
      </c>
    </row>
    <row r="537" spans="1:31" x14ac:dyDescent="0.2">
      <c r="A537" s="42" t="s">
        <v>917</v>
      </c>
      <c r="B537" s="42">
        <v>1</v>
      </c>
      <c r="C537" s="42" t="s">
        <v>402</v>
      </c>
      <c r="D537" s="42">
        <v>229</v>
      </c>
      <c r="E537" s="42" t="s">
        <v>405</v>
      </c>
      <c r="F537" s="42" t="s">
        <v>867</v>
      </c>
      <c r="G537" s="42">
        <v>11283</v>
      </c>
      <c r="H537" s="42" t="s">
        <v>868</v>
      </c>
      <c r="I537" s="42">
        <v>1090459.8700000001</v>
      </c>
      <c r="J537" s="42">
        <v>1090459.8700000001</v>
      </c>
      <c r="K537" s="42" t="b">
        <v>0</v>
      </c>
      <c r="L537" s="42">
        <v>4</v>
      </c>
      <c r="M537" s="42" t="s">
        <v>128</v>
      </c>
      <c r="N537" s="42">
        <v>2</v>
      </c>
      <c r="O537" s="42" t="s">
        <v>122</v>
      </c>
      <c r="P537" s="42">
        <v>14</v>
      </c>
      <c r="Q537" s="42" t="s">
        <v>323</v>
      </c>
      <c r="R537" s="42" t="s">
        <v>114</v>
      </c>
      <c r="U537" s="42" t="s">
        <v>121</v>
      </c>
      <c r="V537" s="42">
        <v>1</v>
      </c>
      <c r="W537" s="42" t="s">
        <v>116</v>
      </c>
      <c r="X537" s="42">
        <v>18</v>
      </c>
      <c r="Y537" s="42" t="s">
        <v>117</v>
      </c>
      <c r="Z537" s="42">
        <v>1136014.0279999999</v>
      </c>
      <c r="AA537" s="42">
        <v>0.95989999999999998</v>
      </c>
      <c r="AB537" s="42" t="s">
        <v>36</v>
      </c>
      <c r="AC537" s="42">
        <v>1</v>
      </c>
      <c r="AD537" s="42">
        <v>1</v>
      </c>
      <c r="AE537" s="42">
        <v>1090459.8700000001</v>
      </c>
    </row>
    <row r="538" spans="1:31" x14ac:dyDescent="0.2">
      <c r="A538" s="42" t="s">
        <v>917</v>
      </c>
      <c r="B538" s="42">
        <v>1</v>
      </c>
      <c r="C538" s="42" t="s">
        <v>402</v>
      </c>
      <c r="D538" s="42">
        <v>229</v>
      </c>
      <c r="E538" s="42" t="s">
        <v>405</v>
      </c>
      <c r="F538" s="42" t="s">
        <v>869</v>
      </c>
      <c r="G538" s="42">
        <v>11297</v>
      </c>
      <c r="H538" s="42" t="s">
        <v>870</v>
      </c>
      <c r="I538" s="42">
        <v>2313697.44</v>
      </c>
      <c r="J538" s="42">
        <v>2313697.44</v>
      </c>
      <c r="K538" s="42" t="b">
        <v>0</v>
      </c>
      <c r="L538" s="42">
        <v>4</v>
      </c>
      <c r="M538" s="42" t="s">
        <v>128</v>
      </c>
      <c r="N538" s="42">
        <v>2</v>
      </c>
      <c r="O538" s="42" t="s">
        <v>122</v>
      </c>
      <c r="P538" s="42">
        <v>14</v>
      </c>
      <c r="Q538" s="42" t="s">
        <v>323</v>
      </c>
      <c r="R538" s="42" t="s">
        <v>114</v>
      </c>
      <c r="U538" s="42" t="s">
        <v>121</v>
      </c>
      <c r="V538" s="42">
        <v>1</v>
      </c>
      <c r="W538" s="42" t="s">
        <v>116</v>
      </c>
      <c r="X538" s="42">
        <v>18</v>
      </c>
      <c r="Y538" s="42" t="s">
        <v>117</v>
      </c>
      <c r="Z538" s="42">
        <v>2770563.33</v>
      </c>
      <c r="AA538" s="42">
        <v>0.83509999999999995</v>
      </c>
      <c r="AB538" s="42" t="s">
        <v>36</v>
      </c>
      <c r="AC538" s="42">
        <v>1</v>
      </c>
      <c r="AD538" s="42">
        <v>1</v>
      </c>
      <c r="AE538" s="42">
        <v>2313697.44</v>
      </c>
    </row>
    <row r="539" spans="1:31" x14ac:dyDescent="0.2">
      <c r="A539" s="42" t="s">
        <v>917</v>
      </c>
      <c r="B539" s="42">
        <v>1</v>
      </c>
      <c r="C539" s="42" t="s">
        <v>402</v>
      </c>
      <c r="D539" s="42">
        <v>229</v>
      </c>
      <c r="E539" s="42" t="s">
        <v>405</v>
      </c>
      <c r="F539" s="42" t="s">
        <v>871</v>
      </c>
      <c r="G539" s="42">
        <v>11395</v>
      </c>
      <c r="H539" s="42" t="s">
        <v>872</v>
      </c>
      <c r="I539" s="42">
        <v>928747.53</v>
      </c>
      <c r="J539" s="42">
        <v>928747.53</v>
      </c>
      <c r="K539" s="42" t="b">
        <v>0</v>
      </c>
      <c r="L539" s="42">
        <v>4</v>
      </c>
      <c r="M539" s="42" t="s">
        <v>128</v>
      </c>
      <c r="N539" s="42">
        <v>1</v>
      </c>
      <c r="O539" s="42" t="s">
        <v>112</v>
      </c>
      <c r="P539" s="42">
        <v>16</v>
      </c>
      <c r="Q539" s="42" t="s">
        <v>335</v>
      </c>
      <c r="R539" s="42" t="s">
        <v>114</v>
      </c>
      <c r="U539" s="42" t="s">
        <v>115</v>
      </c>
      <c r="V539" s="42">
        <v>1</v>
      </c>
      <c r="W539" s="42" t="s">
        <v>116</v>
      </c>
      <c r="X539" s="42">
        <v>18</v>
      </c>
      <c r="Y539" s="42" t="s">
        <v>117</v>
      </c>
      <c r="Z539" s="42">
        <v>9312.61</v>
      </c>
      <c r="AA539" s="42">
        <v>99.730099999999993</v>
      </c>
      <c r="AB539" s="42" t="s">
        <v>36</v>
      </c>
      <c r="AC539" s="42">
        <v>1</v>
      </c>
      <c r="AD539" s="42">
        <v>1</v>
      </c>
      <c r="AE539" s="42">
        <v>928747.53</v>
      </c>
    </row>
    <row r="540" spans="1:31" x14ac:dyDescent="0.2">
      <c r="A540" s="42" t="s">
        <v>917</v>
      </c>
      <c r="B540" s="42">
        <v>1</v>
      </c>
      <c r="C540" s="42" t="s">
        <v>402</v>
      </c>
      <c r="D540" s="42">
        <v>229</v>
      </c>
      <c r="E540" s="42" t="s">
        <v>405</v>
      </c>
      <c r="F540" s="42" t="s">
        <v>873</v>
      </c>
      <c r="G540" s="42">
        <v>11653</v>
      </c>
      <c r="H540" s="42" t="s">
        <v>874</v>
      </c>
      <c r="I540" s="42">
        <v>3604269.44</v>
      </c>
      <c r="J540" s="42">
        <v>3604269.44</v>
      </c>
      <c r="K540" s="42" t="b">
        <v>0</v>
      </c>
      <c r="L540" s="42">
        <v>4</v>
      </c>
      <c r="M540" s="42" t="s">
        <v>128</v>
      </c>
      <c r="N540" s="42">
        <v>1</v>
      </c>
      <c r="O540" s="42" t="s">
        <v>112</v>
      </c>
      <c r="P540" s="42">
        <v>16</v>
      </c>
      <c r="Q540" s="42" t="s">
        <v>335</v>
      </c>
      <c r="R540" s="42" t="s">
        <v>114</v>
      </c>
      <c r="U540" s="42" t="s">
        <v>121</v>
      </c>
      <c r="V540" s="42">
        <v>1</v>
      </c>
      <c r="W540" s="42" t="s">
        <v>116</v>
      </c>
      <c r="X540" s="42">
        <v>18</v>
      </c>
      <c r="Y540" s="42" t="s">
        <v>117</v>
      </c>
      <c r="Z540" s="42">
        <v>3808802.1179999998</v>
      </c>
      <c r="AA540" s="42">
        <v>0.94630000000000003</v>
      </c>
      <c r="AB540" s="42" t="s">
        <v>36</v>
      </c>
      <c r="AC540" s="42">
        <v>1</v>
      </c>
      <c r="AD540" s="42">
        <v>1</v>
      </c>
      <c r="AE540" s="42">
        <v>3604269.44</v>
      </c>
    </row>
    <row r="541" spans="1:31" x14ac:dyDescent="0.2">
      <c r="A541" s="42" t="s">
        <v>917</v>
      </c>
      <c r="B541" s="42">
        <v>1</v>
      </c>
      <c r="C541" s="42" t="s">
        <v>402</v>
      </c>
      <c r="D541" s="42">
        <v>229</v>
      </c>
      <c r="E541" s="42" t="s">
        <v>405</v>
      </c>
      <c r="F541" s="42" t="s">
        <v>875</v>
      </c>
      <c r="G541" s="42">
        <v>11654</v>
      </c>
      <c r="H541" s="42" t="s">
        <v>876</v>
      </c>
      <c r="I541" s="42">
        <v>3599586.09</v>
      </c>
      <c r="J541" s="42">
        <v>3599586.09</v>
      </c>
      <c r="K541" s="42" t="b">
        <v>0</v>
      </c>
      <c r="L541" s="42">
        <v>4</v>
      </c>
      <c r="M541" s="42" t="s">
        <v>128</v>
      </c>
      <c r="N541" s="42">
        <v>1</v>
      </c>
      <c r="O541" s="42" t="s">
        <v>112</v>
      </c>
      <c r="P541" s="42">
        <v>16</v>
      </c>
      <c r="Q541" s="42" t="s">
        <v>335</v>
      </c>
      <c r="R541" s="42" t="s">
        <v>114</v>
      </c>
      <c r="U541" s="42" t="s">
        <v>115</v>
      </c>
      <c r="V541" s="42">
        <v>1</v>
      </c>
      <c r="W541" s="42" t="s">
        <v>116</v>
      </c>
      <c r="X541" s="42">
        <v>18</v>
      </c>
      <c r="Y541" s="42" t="s">
        <v>117</v>
      </c>
      <c r="Z541" s="42">
        <v>39119.26</v>
      </c>
      <c r="AA541" s="42">
        <v>92.015699999999995</v>
      </c>
      <c r="AB541" s="42" t="s">
        <v>36</v>
      </c>
      <c r="AC541" s="42">
        <v>1</v>
      </c>
      <c r="AD541" s="42">
        <v>1</v>
      </c>
      <c r="AE541" s="42">
        <v>3599586.09</v>
      </c>
    </row>
    <row r="542" spans="1:31" x14ac:dyDescent="0.2">
      <c r="A542" s="42" t="s">
        <v>917</v>
      </c>
      <c r="B542" s="42">
        <v>1</v>
      </c>
      <c r="C542" s="42" t="s">
        <v>402</v>
      </c>
      <c r="D542" s="42">
        <v>229</v>
      </c>
      <c r="E542" s="42" t="s">
        <v>405</v>
      </c>
      <c r="F542" s="42" t="s">
        <v>701</v>
      </c>
      <c r="G542" s="42">
        <v>11773</v>
      </c>
      <c r="H542" s="42" t="s">
        <v>702</v>
      </c>
      <c r="I542" s="42">
        <v>1242236.6399999999</v>
      </c>
      <c r="J542" s="42">
        <v>1242236.6399999999</v>
      </c>
      <c r="K542" s="42" t="b">
        <v>0</v>
      </c>
      <c r="L542" s="42">
        <v>11</v>
      </c>
      <c r="M542" s="42" t="s">
        <v>238</v>
      </c>
      <c r="N542" s="42">
        <v>1</v>
      </c>
      <c r="O542" s="42" t="s">
        <v>112</v>
      </c>
      <c r="P542" s="42">
        <v>80</v>
      </c>
      <c r="Q542" s="42" t="s">
        <v>213</v>
      </c>
      <c r="R542" s="42" t="s">
        <v>114</v>
      </c>
      <c r="U542" s="42" t="s">
        <v>121</v>
      </c>
      <c r="V542" s="42">
        <v>1</v>
      </c>
      <c r="W542" s="42" t="s">
        <v>116</v>
      </c>
      <c r="X542" s="42">
        <v>18</v>
      </c>
      <c r="Y542" s="42" t="s">
        <v>117</v>
      </c>
      <c r="Z542" s="42">
        <v>1044598.591</v>
      </c>
      <c r="AA542" s="42">
        <v>1.1892</v>
      </c>
      <c r="AB542" s="42" t="s">
        <v>36</v>
      </c>
      <c r="AC542" s="42">
        <v>1</v>
      </c>
      <c r="AD542" s="42">
        <v>1</v>
      </c>
      <c r="AE542" s="42">
        <v>1242236.6399999999</v>
      </c>
    </row>
    <row r="543" spans="1:31" x14ac:dyDescent="0.2">
      <c r="A543" s="42" t="s">
        <v>917</v>
      </c>
      <c r="B543" s="42">
        <v>1</v>
      </c>
      <c r="C543" s="42" t="s">
        <v>402</v>
      </c>
      <c r="D543" s="42">
        <v>229</v>
      </c>
      <c r="E543" s="42" t="s">
        <v>405</v>
      </c>
      <c r="F543" s="42" t="s">
        <v>703</v>
      </c>
      <c r="G543" s="42">
        <v>11920</v>
      </c>
      <c r="H543" s="42" t="s">
        <v>704</v>
      </c>
      <c r="I543" s="42">
        <v>672908.41</v>
      </c>
      <c r="J543" s="42">
        <v>672908.41</v>
      </c>
      <c r="K543" s="42" t="b">
        <v>0</v>
      </c>
      <c r="L543" s="42">
        <v>5</v>
      </c>
      <c r="M543" s="42" t="s">
        <v>108</v>
      </c>
      <c r="N543" s="42">
        <v>29</v>
      </c>
      <c r="O543" s="42" t="s">
        <v>142</v>
      </c>
      <c r="P543" s="42">
        <v>3</v>
      </c>
      <c r="Q543" s="42" t="s">
        <v>325</v>
      </c>
      <c r="R543" s="42" t="s">
        <v>114</v>
      </c>
      <c r="U543" s="42" t="s">
        <v>121</v>
      </c>
      <c r="V543" s="42">
        <v>1</v>
      </c>
      <c r="W543" s="42" t="s">
        <v>116</v>
      </c>
      <c r="X543" s="42">
        <v>18</v>
      </c>
      <c r="Y543" s="42" t="s">
        <v>117</v>
      </c>
      <c r="Z543" s="42">
        <v>583615.27</v>
      </c>
      <c r="AA543" s="42">
        <v>1.153</v>
      </c>
      <c r="AB543" s="42" t="s">
        <v>36</v>
      </c>
      <c r="AC543" s="42">
        <v>1</v>
      </c>
      <c r="AD543" s="42">
        <v>1</v>
      </c>
      <c r="AE543" s="42">
        <v>672908.41</v>
      </c>
    </row>
    <row r="544" spans="1:31" x14ac:dyDescent="0.2">
      <c r="A544" s="42" t="s">
        <v>917</v>
      </c>
      <c r="B544" s="42">
        <v>1</v>
      </c>
      <c r="C544" s="42" t="s">
        <v>402</v>
      </c>
      <c r="D544" s="42">
        <v>229</v>
      </c>
      <c r="E544" s="42" t="s">
        <v>405</v>
      </c>
      <c r="F544" s="42" t="s">
        <v>705</v>
      </c>
      <c r="G544" s="42">
        <v>11962</v>
      </c>
      <c r="H544" s="42" t="s">
        <v>706</v>
      </c>
      <c r="I544" s="42">
        <v>616969.41</v>
      </c>
      <c r="J544" s="42">
        <v>616969.41</v>
      </c>
      <c r="K544" s="42" t="b">
        <v>0</v>
      </c>
      <c r="L544" s="42">
        <v>11</v>
      </c>
      <c r="M544" s="42" t="s">
        <v>238</v>
      </c>
      <c r="N544" s="42">
        <v>1</v>
      </c>
      <c r="O544" s="42" t="s">
        <v>112</v>
      </c>
      <c r="P544" s="42">
        <v>63</v>
      </c>
      <c r="Q544" s="42" t="s">
        <v>324</v>
      </c>
      <c r="R544" s="42" t="s">
        <v>114</v>
      </c>
      <c r="U544" s="42" t="s">
        <v>115</v>
      </c>
      <c r="V544" s="42">
        <v>1</v>
      </c>
      <c r="W544" s="42" t="s">
        <v>116</v>
      </c>
      <c r="X544" s="42">
        <v>18</v>
      </c>
      <c r="Y544" s="42" t="s">
        <v>117</v>
      </c>
      <c r="Z544" s="42">
        <v>5036.1149999999998</v>
      </c>
      <c r="AA544" s="42">
        <v>122.509</v>
      </c>
      <c r="AB544" s="42" t="s">
        <v>36</v>
      </c>
      <c r="AC544" s="42">
        <v>1</v>
      </c>
      <c r="AD544" s="42">
        <v>1</v>
      </c>
      <c r="AE544" s="42">
        <v>616969.41</v>
      </c>
    </row>
    <row r="545" spans="1:31" x14ac:dyDescent="0.2">
      <c r="A545" s="42" t="s">
        <v>917</v>
      </c>
      <c r="B545" s="42">
        <v>1</v>
      </c>
      <c r="C545" s="42" t="s">
        <v>402</v>
      </c>
      <c r="D545" s="42">
        <v>229</v>
      </c>
      <c r="E545" s="42" t="s">
        <v>405</v>
      </c>
      <c r="F545" s="42" t="s">
        <v>707</v>
      </c>
      <c r="G545" s="42">
        <v>11963</v>
      </c>
      <c r="H545" s="42" t="s">
        <v>708</v>
      </c>
      <c r="I545" s="42">
        <v>1229790.68</v>
      </c>
      <c r="J545" s="42">
        <v>1229790.68</v>
      </c>
      <c r="K545" s="42" t="b">
        <v>0</v>
      </c>
      <c r="L545" s="42">
        <v>11</v>
      </c>
      <c r="M545" s="42" t="s">
        <v>238</v>
      </c>
      <c r="N545" s="42">
        <v>1</v>
      </c>
      <c r="O545" s="42" t="s">
        <v>112</v>
      </c>
      <c r="P545" s="42">
        <v>63</v>
      </c>
      <c r="Q545" s="42" t="s">
        <v>324</v>
      </c>
      <c r="R545" s="42" t="s">
        <v>114</v>
      </c>
      <c r="U545" s="42" t="s">
        <v>121</v>
      </c>
      <c r="V545" s="42">
        <v>1</v>
      </c>
      <c r="W545" s="42" t="s">
        <v>116</v>
      </c>
      <c r="X545" s="42">
        <v>18</v>
      </c>
      <c r="Y545" s="42" t="s">
        <v>117</v>
      </c>
      <c r="Z545" s="42">
        <v>948180.94</v>
      </c>
      <c r="AA545" s="42">
        <v>1.2969999999999999</v>
      </c>
      <c r="AB545" s="42" t="s">
        <v>36</v>
      </c>
      <c r="AC545" s="42">
        <v>1</v>
      </c>
      <c r="AD545" s="42">
        <v>1</v>
      </c>
      <c r="AE545" s="42">
        <v>1229790.68</v>
      </c>
    </row>
    <row r="546" spans="1:31" x14ac:dyDescent="0.2">
      <c r="A546" s="42" t="s">
        <v>917</v>
      </c>
      <c r="B546" s="42">
        <v>1</v>
      </c>
      <c r="C546" s="42" t="s">
        <v>402</v>
      </c>
      <c r="D546" s="42">
        <v>229</v>
      </c>
      <c r="E546" s="42" t="s">
        <v>405</v>
      </c>
      <c r="F546" s="42" t="s">
        <v>709</v>
      </c>
      <c r="G546" s="42">
        <v>11964</v>
      </c>
      <c r="H546" s="42" t="s">
        <v>710</v>
      </c>
      <c r="I546" s="42">
        <v>603269.84</v>
      </c>
      <c r="J546" s="42">
        <v>603269.84</v>
      </c>
      <c r="K546" s="42" t="b">
        <v>0</v>
      </c>
      <c r="L546" s="42">
        <v>5</v>
      </c>
      <c r="M546" s="42" t="s">
        <v>108</v>
      </c>
      <c r="N546" s="42">
        <v>1</v>
      </c>
      <c r="O546" s="42" t="s">
        <v>112</v>
      </c>
      <c r="P546" s="42">
        <v>51</v>
      </c>
      <c r="Q546" s="42" t="s">
        <v>112</v>
      </c>
      <c r="R546" s="42" t="s">
        <v>114</v>
      </c>
      <c r="U546" s="42" t="s">
        <v>115</v>
      </c>
      <c r="V546" s="42">
        <v>1</v>
      </c>
      <c r="W546" s="42" t="s">
        <v>116</v>
      </c>
      <c r="X546" s="42">
        <v>18</v>
      </c>
      <c r="Y546" s="42" t="s">
        <v>117</v>
      </c>
      <c r="Z546" s="42">
        <v>69984.899999999994</v>
      </c>
      <c r="AA546" s="42">
        <v>8.6199999999999992</v>
      </c>
      <c r="AB546" s="42" t="s">
        <v>36</v>
      </c>
      <c r="AC546" s="42">
        <v>1</v>
      </c>
      <c r="AD546" s="42">
        <v>1</v>
      </c>
      <c r="AE546" s="42">
        <v>603269.84</v>
      </c>
    </row>
    <row r="547" spans="1:31" x14ac:dyDescent="0.2">
      <c r="A547" s="42" t="s">
        <v>917</v>
      </c>
      <c r="B547" s="42">
        <v>1</v>
      </c>
      <c r="C547" s="42" t="s">
        <v>403</v>
      </c>
      <c r="D547" s="42">
        <v>230</v>
      </c>
      <c r="E547" s="42" t="s">
        <v>406</v>
      </c>
      <c r="F547" s="42" t="s">
        <v>636</v>
      </c>
      <c r="G547" s="42">
        <v>2504</v>
      </c>
      <c r="H547" s="42" t="s">
        <v>637</v>
      </c>
      <c r="I547" s="42">
        <v>6069717.29</v>
      </c>
      <c r="J547" s="42">
        <v>6069717.29</v>
      </c>
      <c r="K547" s="42" t="b">
        <v>0</v>
      </c>
      <c r="L547" s="42">
        <v>11</v>
      </c>
      <c r="M547" s="42" t="s">
        <v>238</v>
      </c>
      <c r="N547" s="42">
        <v>1</v>
      </c>
      <c r="O547" s="42" t="s">
        <v>112</v>
      </c>
      <c r="P547" s="42">
        <v>40</v>
      </c>
      <c r="Q547" s="42" t="s">
        <v>638</v>
      </c>
      <c r="R547" s="42" t="s">
        <v>114</v>
      </c>
      <c r="U547" s="42" t="s">
        <v>121</v>
      </c>
      <c r="V547" s="42">
        <v>1</v>
      </c>
      <c r="W547" s="42" t="s">
        <v>116</v>
      </c>
      <c r="X547" s="42">
        <v>18</v>
      </c>
      <c r="Y547" s="42" t="s">
        <v>117</v>
      </c>
      <c r="Z547" s="42">
        <v>1559496.746</v>
      </c>
      <c r="AA547" s="42">
        <v>3.8921000000000001</v>
      </c>
      <c r="AB547" s="42" t="s">
        <v>36</v>
      </c>
      <c r="AC547" s="42">
        <v>1</v>
      </c>
      <c r="AD547" s="42">
        <v>1</v>
      </c>
      <c r="AE547" s="42">
        <v>6069717.29</v>
      </c>
    </row>
    <row r="548" spans="1:31" x14ac:dyDescent="0.2">
      <c r="A548" s="42" t="s">
        <v>917</v>
      </c>
      <c r="B548" s="42">
        <v>1</v>
      </c>
      <c r="C548" s="42" t="s">
        <v>403</v>
      </c>
      <c r="D548" s="42">
        <v>230</v>
      </c>
      <c r="E548" s="42" t="s">
        <v>406</v>
      </c>
      <c r="F548" s="42" t="s">
        <v>639</v>
      </c>
      <c r="G548" s="42">
        <v>2627</v>
      </c>
      <c r="H548" s="42" t="s">
        <v>640</v>
      </c>
      <c r="I548" s="42">
        <v>8082079.3899999997</v>
      </c>
      <c r="J548" s="42">
        <v>8089378.6900000004</v>
      </c>
      <c r="K548" s="42" t="b">
        <v>0</v>
      </c>
      <c r="L548" s="42">
        <v>5</v>
      </c>
      <c r="M548" s="42" t="s">
        <v>108</v>
      </c>
      <c r="N548" s="42">
        <v>29</v>
      </c>
      <c r="O548" s="42" t="s">
        <v>142</v>
      </c>
      <c r="P548" s="42">
        <v>3</v>
      </c>
      <c r="Q548" s="42" t="s">
        <v>325</v>
      </c>
      <c r="R548" s="42" t="s">
        <v>114</v>
      </c>
      <c r="U548" s="42" t="s">
        <v>121</v>
      </c>
      <c r="V548" s="42">
        <v>1</v>
      </c>
      <c r="W548" s="42" t="s">
        <v>116</v>
      </c>
      <c r="X548" s="42">
        <v>18</v>
      </c>
      <c r="Y548" s="42" t="s">
        <v>117</v>
      </c>
      <c r="Z548" s="42">
        <v>2919720.8879999998</v>
      </c>
      <c r="AA548" s="42">
        <v>2.7706</v>
      </c>
      <c r="AB548" s="42" t="s">
        <v>36</v>
      </c>
      <c r="AC548" s="42">
        <v>1</v>
      </c>
      <c r="AD548" s="42">
        <v>1</v>
      </c>
      <c r="AE548" s="42">
        <v>8089378.6900000004</v>
      </c>
    </row>
    <row r="549" spans="1:31" x14ac:dyDescent="0.2">
      <c r="A549" s="42" t="s">
        <v>917</v>
      </c>
      <c r="B549" s="42">
        <v>1</v>
      </c>
      <c r="C549" s="42" t="s">
        <v>403</v>
      </c>
      <c r="D549" s="42">
        <v>230</v>
      </c>
      <c r="E549" s="42" t="s">
        <v>406</v>
      </c>
      <c r="F549" s="42" t="s">
        <v>840</v>
      </c>
      <c r="G549" s="42">
        <v>2680</v>
      </c>
      <c r="H549" s="42" t="s">
        <v>841</v>
      </c>
      <c r="I549" s="42">
        <v>6755888.6500000004</v>
      </c>
      <c r="J549" s="42">
        <v>6755888.6500000004</v>
      </c>
      <c r="K549" s="42" t="b">
        <v>0</v>
      </c>
      <c r="L549" s="42">
        <v>5</v>
      </c>
      <c r="M549" s="42" t="s">
        <v>108</v>
      </c>
      <c r="N549" s="42">
        <v>28</v>
      </c>
      <c r="O549" s="42" t="s">
        <v>120</v>
      </c>
      <c r="P549" s="42">
        <v>9</v>
      </c>
      <c r="Q549" s="42" t="s">
        <v>320</v>
      </c>
      <c r="R549" s="42" t="s">
        <v>114</v>
      </c>
      <c r="U549" s="42" t="s">
        <v>121</v>
      </c>
      <c r="V549" s="42">
        <v>1</v>
      </c>
      <c r="W549" s="42" t="s">
        <v>116</v>
      </c>
      <c r="X549" s="42">
        <v>18</v>
      </c>
      <c r="Y549" s="42" t="s">
        <v>117</v>
      </c>
      <c r="Z549" s="42">
        <v>1797352.52</v>
      </c>
      <c r="AA549" s="42">
        <v>3.7587999999999999</v>
      </c>
      <c r="AB549" s="42" t="s">
        <v>36</v>
      </c>
      <c r="AC549" s="42">
        <v>1</v>
      </c>
      <c r="AD549" s="42">
        <v>1</v>
      </c>
      <c r="AE549" s="42">
        <v>6755888.6500000004</v>
      </c>
    </row>
    <row r="550" spans="1:31" x14ac:dyDescent="0.2">
      <c r="A550" s="42" t="s">
        <v>917</v>
      </c>
      <c r="B550" s="42">
        <v>1</v>
      </c>
      <c r="C550" s="42" t="s">
        <v>403</v>
      </c>
      <c r="D550" s="42">
        <v>230</v>
      </c>
      <c r="E550" s="42" t="s">
        <v>406</v>
      </c>
      <c r="F550" s="42" t="s">
        <v>132</v>
      </c>
      <c r="G550" s="42">
        <v>2856</v>
      </c>
      <c r="H550" s="42" t="s">
        <v>133</v>
      </c>
      <c r="I550" s="42">
        <v>23010483.899999999</v>
      </c>
      <c r="J550" s="42">
        <v>23010483.899999999</v>
      </c>
      <c r="K550" s="42" t="b">
        <v>0</v>
      </c>
      <c r="L550" s="42">
        <v>5</v>
      </c>
      <c r="M550" s="42" t="s">
        <v>108</v>
      </c>
      <c r="N550" s="42">
        <v>4</v>
      </c>
      <c r="O550" s="42" t="s">
        <v>109</v>
      </c>
      <c r="P550" s="42">
        <v>6</v>
      </c>
      <c r="Q550" s="42" t="s">
        <v>109</v>
      </c>
      <c r="R550" s="42" t="s">
        <v>114</v>
      </c>
      <c r="U550" s="42" t="s">
        <v>121</v>
      </c>
      <c r="V550" s="42">
        <v>1</v>
      </c>
      <c r="W550" s="42" t="s">
        <v>116</v>
      </c>
      <c r="X550" s="42">
        <v>18</v>
      </c>
      <c r="Y550" s="42" t="s">
        <v>117</v>
      </c>
      <c r="Z550" s="42">
        <v>6654082.8499999996</v>
      </c>
      <c r="AA550" s="42">
        <v>3.4581</v>
      </c>
      <c r="AB550" s="42" t="s">
        <v>36</v>
      </c>
      <c r="AC550" s="42">
        <v>1</v>
      </c>
      <c r="AD550" s="42">
        <v>1</v>
      </c>
      <c r="AE550" s="42">
        <v>23010483.899999999</v>
      </c>
    </row>
    <row r="551" spans="1:31" x14ac:dyDescent="0.2">
      <c r="A551" s="42" t="s">
        <v>917</v>
      </c>
      <c r="B551" s="42">
        <v>1</v>
      </c>
      <c r="C551" s="42" t="s">
        <v>403</v>
      </c>
      <c r="D551" s="42">
        <v>230</v>
      </c>
      <c r="E551" s="42" t="s">
        <v>406</v>
      </c>
      <c r="F551" s="42" t="s">
        <v>136</v>
      </c>
      <c r="G551" s="42">
        <v>2874</v>
      </c>
      <c r="H551" s="42" t="s">
        <v>137</v>
      </c>
      <c r="I551" s="42">
        <v>11444354.210000001</v>
      </c>
      <c r="J551" s="42">
        <v>11444354.210000001</v>
      </c>
      <c r="K551" s="42" t="b">
        <v>0</v>
      </c>
      <c r="L551" s="42">
        <v>4</v>
      </c>
      <c r="M551" s="42" t="s">
        <v>128</v>
      </c>
      <c r="N551" s="42">
        <v>2</v>
      </c>
      <c r="O551" s="42" t="s">
        <v>122</v>
      </c>
      <c r="P551" s="42">
        <v>14</v>
      </c>
      <c r="Q551" s="42" t="s">
        <v>323</v>
      </c>
      <c r="R551" s="42" t="s">
        <v>114</v>
      </c>
      <c r="U551" s="42" t="s">
        <v>121</v>
      </c>
      <c r="V551" s="42">
        <v>1</v>
      </c>
      <c r="W551" s="42" t="s">
        <v>116</v>
      </c>
      <c r="X551" s="42">
        <v>18</v>
      </c>
      <c r="Y551" s="42" t="s">
        <v>117</v>
      </c>
      <c r="Z551" s="42">
        <v>5486267.5999999996</v>
      </c>
      <c r="AA551" s="42">
        <v>2.0859999999999999</v>
      </c>
      <c r="AB551" s="42" t="s">
        <v>36</v>
      </c>
      <c r="AC551" s="42">
        <v>1</v>
      </c>
      <c r="AD551" s="42">
        <v>1</v>
      </c>
      <c r="AE551" s="42">
        <v>11444354.210000001</v>
      </c>
    </row>
    <row r="552" spans="1:31" x14ac:dyDescent="0.2">
      <c r="A552" s="42" t="s">
        <v>917</v>
      </c>
      <c r="B552" s="42">
        <v>1</v>
      </c>
      <c r="C552" s="42" t="s">
        <v>403</v>
      </c>
      <c r="D552" s="42">
        <v>230</v>
      </c>
      <c r="E552" s="42" t="s">
        <v>406</v>
      </c>
      <c r="F552" s="42" t="s">
        <v>207</v>
      </c>
      <c r="G552" s="42">
        <v>2898</v>
      </c>
      <c r="H552" s="42" t="s">
        <v>208</v>
      </c>
      <c r="I552" s="42">
        <v>10150507.42</v>
      </c>
      <c r="J552" s="42">
        <v>10150507.42</v>
      </c>
      <c r="K552" s="42" t="b">
        <v>0</v>
      </c>
      <c r="L552" s="42">
        <v>14</v>
      </c>
      <c r="M552" s="42" t="s">
        <v>331</v>
      </c>
      <c r="N552" s="42">
        <v>1</v>
      </c>
      <c r="O552" s="42" t="s">
        <v>112</v>
      </c>
      <c r="P552" s="42">
        <v>22</v>
      </c>
      <c r="Q552" s="42" t="s">
        <v>209</v>
      </c>
      <c r="R552" s="42" t="s">
        <v>114</v>
      </c>
      <c r="U552" s="42" t="s">
        <v>121</v>
      </c>
      <c r="V552" s="42">
        <v>1</v>
      </c>
      <c r="W552" s="42" t="s">
        <v>116</v>
      </c>
      <c r="X552" s="42">
        <v>18</v>
      </c>
      <c r="Y552" s="42" t="s">
        <v>117</v>
      </c>
      <c r="Z552" s="42">
        <v>14371382.448999999</v>
      </c>
      <c r="AA552" s="42">
        <v>0.70630000000000004</v>
      </c>
      <c r="AB552" s="42" t="s">
        <v>36</v>
      </c>
      <c r="AC552" s="42">
        <v>1</v>
      </c>
      <c r="AD552" s="42">
        <v>1</v>
      </c>
      <c r="AE552" s="42">
        <v>10150507.42</v>
      </c>
    </row>
    <row r="553" spans="1:31" x14ac:dyDescent="0.2">
      <c r="A553" s="42" t="s">
        <v>917</v>
      </c>
      <c r="B553" s="42">
        <v>1</v>
      </c>
      <c r="C553" s="42" t="s">
        <v>403</v>
      </c>
      <c r="D553" s="42">
        <v>230</v>
      </c>
      <c r="E553" s="42" t="s">
        <v>406</v>
      </c>
      <c r="F553" s="42" t="s">
        <v>842</v>
      </c>
      <c r="G553" s="42">
        <v>2941</v>
      </c>
      <c r="H553" s="42" t="s">
        <v>843</v>
      </c>
      <c r="I553" s="42">
        <v>8127707.3399999999</v>
      </c>
      <c r="J553" s="42">
        <v>8127707.3399999999</v>
      </c>
      <c r="K553" s="42" t="b">
        <v>0</v>
      </c>
      <c r="L553" s="42">
        <v>5</v>
      </c>
      <c r="M553" s="42" t="s">
        <v>108</v>
      </c>
      <c r="N553" s="42">
        <v>5</v>
      </c>
      <c r="O553" s="42" t="s">
        <v>143</v>
      </c>
      <c r="P553" s="42">
        <v>55</v>
      </c>
      <c r="Q553" s="42" t="s">
        <v>143</v>
      </c>
      <c r="R553" s="42" t="s">
        <v>114</v>
      </c>
      <c r="U553" s="42" t="s">
        <v>115</v>
      </c>
      <c r="V553" s="42">
        <v>1</v>
      </c>
      <c r="W553" s="42" t="s">
        <v>116</v>
      </c>
      <c r="X553" s="42">
        <v>18</v>
      </c>
      <c r="Y553" s="42" t="s">
        <v>117</v>
      </c>
      <c r="Z553" s="42">
        <v>3989058.8152000001</v>
      </c>
      <c r="AA553" s="42">
        <v>2.0375000000000001</v>
      </c>
      <c r="AB553" s="42" t="s">
        <v>36</v>
      </c>
      <c r="AC553" s="42">
        <v>1</v>
      </c>
      <c r="AD553" s="42">
        <v>1</v>
      </c>
      <c r="AE553" s="42">
        <v>8127707.3399999999</v>
      </c>
    </row>
    <row r="554" spans="1:31" x14ac:dyDescent="0.2">
      <c r="A554" s="42" t="s">
        <v>917</v>
      </c>
      <c r="B554" s="42">
        <v>1</v>
      </c>
      <c r="C554" s="42" t="s">
        <v>403</v>
      </c>
      <c r="D554" s="42">
        <v>230</v>
      </c>
      <c r="E554" s="42" t="s">
        <v>406</v>
      </c>
      <c r="F554" s="42" t="s">
        <v>533</v>
      </c>
      <c r="G554" s="42">
        <v>3991</v>
      </c>
      <c r="H554" s="42" t="s">
        <v>534</v>
      </c>
      <c r="I554" s="42">
        <v>7146752.04</v>
      </c>
      <c r="J554" s="42">
        <v>7146752.04</v>
      </c>
      <c r="K554" s="42" t="b">
        <v>0</v>
      </c>
      <c r="L554" s="42">
        <v>5</v>
      </c>
      <c r="M554" s="42" t="s">
        <v>108</v>
      </c>
      <c r="N554" s="42">
        <v>28</v>
      </c>
      <c r="O554" s="42" t="s">
        <v>120</v>
      </c>
      <c r="P554" s="42">
        <v>9</v>
      </c>
      <c r="Q554" s="42" t="s">
        <v>320</v>
      </c>
      <c r="R554" s="42" t="s">
        <v>114</v>
      </c>
      <c r="U554" s="42" t="s">
        <v>121</v>
      </c>
      <c r="V554" s="42">
        <v>1</v>
      </c>
      <c r="W554" s="42" t="s">
        <v>116</v>
      </c>
      <c r="X554" s="42">
        <v>18</v>
      </c>
      <c r="Y554" s="42" t="s">
        <v>117</v>
      </c>
      <c r="Z554" s="42">
        <v>3146546.9309999999</v>
      </c>
      <c r="AA554" s="42">
        <v>2.2713000000000001</v>
      </c>
      <c r="AB554" s="42" t="s">
        <v>36</v>
      </c>
      <c r="AC554" s="42">
        <v>1</v>
      </c>
      <c r="AD554" s="42">
        <v>1</v>
      </c>
      <c r="AE554" s="42">
        <v>7146752.04</v>
      </c>
    </row>
    <row r="555" spans="1:31" x14ac:dyDescent="0.2">
      <c r="A555" s="42" t="s">
        <v>917</v>
      </c>
      <c r="B555" s="42">
        <v>1</v>
      </c>
      <c r="C555" s="42" t="s">
        <v>403</v>
      </c>
      <c r="D555" s="42">
        <v>230</v>
      </c>
      <c r="E555" s="42" t="s">
        <v>406</v>
      </c>
      <c r="F555" s="42" t="s">
        <v>160</v>
      </c>
      <c r="G555" s="42">
        <v>4100</v>
      </c>
      <c r="H555" s="42" t="s">
        <v>161</v>
      </c>
      <c r="I555" s="42">
        <v>7964173.1200000001</v>
      </c>
      <c r="J555" s="42">
        <v>7964173.1200000001</v>
      </c>
      <c r="K555" s="42" t="b">
        <v>0</v>
      </c>
      <c r="L555" s="42">
        <v>5</v>
      </c>
      <c r="M555" s="42" t="s">
        <v>108</v>
      </c>
      <c r="N555" s="42">
        <v>2</v>
      </c>
      <c r="O555" s="42" t="s">
        <v>122</v>
      </c>
      <c r="P555" s="42">
        <v>2</v>
      </c>
      <c r="Q555" s="42" t="s">
        <v>322</v>
      </c>
      <c r="R555" s="42" t="s">
        <v>114</v>
      </c>
      <c r="U555" s="42" t="s">
        <v>121</v>
      </c>
      <c r="V555" s="42">
        <v>1</v>
      </c>
      <c r="W555" s="42" t="s">
        <v>116</v>
      </c>
      <c r="X555" s="42">
        <v>18</v>
      </c>
      <c r="Y555" s="42" t="s">
        <v>117</v>
      </c>
      <c r="Z555" s="42">
        <v>3090482.3909999998</v>
      </c>
      <c r="AA555" s="42">
        <v>2.577</v>
      </c>
      <c r="AB555" s="42" t="s">
        <v>36</v>
      </c>
      <c r="AC555" s="42">
        <v>1</v>
      </c>
      <c r="AD555" s="42">
        <v>1</v>
      </c>
      <c r="AE555" s="42">
        <v>7964173.1200000001</v>
      </c>
    </row>
    <row r="556" spans="1:31" x14ac:dyDescent="0.2">
      <c r="A556" s="42" t="s">
        <v>917</v>
      </c>
      <c r="B556" s="42">
        <v>1</v>
      </c>
      <c r="C556" s="42" t="s">
        <v>403</v>
      </c>
      <c r="D556" s="42">
        <v>230</v>
      </c>
      <c r="E556" s="42" t="s">
        <v>406</v>
      </c>
      <c r="F556" s="42" t="s">
        <v>643</v>
      </c>
      <c r="G556" s="42">
        <v>4211</v>
      </c>
      <c r="H556" s="42" t="s">
        <v>644</v>
      </c>
      <c r="I556" s="42">
        <v>5228429.09</v>
      </c>
      <c r="J556" s="42">
        <v>5228429.09</v>
      </c>
      <c r="K556" s="42" t="b">
        <v>0</v>
      </c>
      <c r="L556" s="42">
        <v>11</v>
      </c>
      <c r="M556" s="42" t="s">
        <v>238</v>
      </c>
      <c r="N556" s="42">
        <v>1</v>
      </c>
      <c r="O556" s="42" t="s">
        <v>112</v>
      </c>
      <c r="P556" s="42">
        <v>63</v>
      </c>
      <c r="Q556" s="42" t="s">
        <v>324</v>
      </c>
      <c r="R556" s="42" t="s">
        <v>114</v>
      </c>
      <c r="U556" s="42" t="s">
        <v>121</v>
      </c>
      <c r="V556" s="42">
        <v>1</v>
      </c>
      <c r="W556" s="42" t="s">
        <v>116</v>
      </c>
      <c r="X556" s="42">
        <v>18</v>
      </c>
      <c r="Y556" s="42" t="s">
        <v>117</v>
      </c>
      <c r="Z556" s="42">
        <v>2985967.4989999998</v>
      </c>
      <c r="AA556" s="42">
        <v>1.7509999999999999</v>
      </c>
      <c r="AB556" s="42" t="s">
        <v>36</v>
      </c>
      <c r="AC556" s="42">
        <v>1</v>
      </c>
      <c r="AD556" s="42">
        <v>1</v>
      </c>
      <c r="AE556" s="42">
        <v>5228429.09</v>
      </c>
    </row>
    <row r="557" spans="1:31" x14ac:dyDescent="0.2">
      <c r="A557" s="42" t="s">
        <v>917</v>
      </c>
      <c r="B557" s="42">
        <v>1</v>
      </c>
      <c r="C557" s="42" t="s">
        <v>403</v>
      </c>
      <c r="D557" s="42">
        <v>230</v>
      </c>
      <c r="E557" s="42" t="s">
        <v>406</v>
      </c>
      <c r="F557" s="42" t="s">
        <v>535</v>
      </c>
      <c r="G557" s="42">
        <v>4658</v>
      </c>
      <c r="H557" s="42" t="s">
        <v>536</v>
      </c>
      <c r="I557" s="42">
        <v>8049964.1399999997</v>
      </c>
      <c r="J557" s="42">
        <v>8049964.1399999997</v>
      </c>
      <c r="K557" s="42" t="b">
        <v>0</v>
      </c>
      <c r="L557" s="42">
        <v>5</v>
      </c>
      <c r="M557" s="42" t="s">
        <v>108</v>
      </c>
      <c r="N557" s="42">
        <v>2</v>
      </c>
      <c r="O557" s="42" t="s">
        <v>122</v>
      </c>
      <c r="P557" s="42">
        <v>1</v>
      </c>
      <c r="Q557" s="42" t="s">
        <v>326</v>
      </c>
      <c r="R557" s="42" t="s">
        <v>114</v>
      </c>
      <c r="U557" s="42" t="s">
        <v>115</v>
      </c>
      <c r="V557" s="42">
        <v>1</v>
      </c>
      <c r="W557" s="42" t="s">
        <v>116</v>
      </c>
      <c r="X557" s="42">
        <v>18</v>
      </c>
      <c r="Y557" s="42" t="s">
        <v>117</v>
      </c>
      <c r="Z557" s="42">
        <v>632858.81599999999</v>
      </c>
      <c r="AA557" s="42">
        <v>12.72</v>
      </c>
      <c r="AB557" s="42" t="s">
        <v>36</v>
      </c>
      <c r="AC557" s="42">
        <v>1</v>
      </c>
      <c r="AD557" s="42">
        <v>1</v>
      </c>
      <c r="AE557" s="42">
        <v>8049964.1399999997</v>
      </c>
    </row>
    <row r="558" spans="1:31" x14ac:dyDescent="0.2">
      <c r="A558" s="42" t="s">
        <v>917</v>
      </c>
      <c r="B558" s="42">
        <v>1</v>
      </c>
      <c r="C558" s="42" t="s">
        <v>403</v>
      </c>
      <c r="D558" s="42">
        <v>230</v>
      </c>
      <c r="E558" s="42" t="s">
        <v>406</v>
      </c>
      <c r="F558" s="42" t="s">
        <v>858</v>
      </c>
      <c r="G558" s="42">
        <v>6733</v>
      </c>
      <c r="H558" s="42" t="s">
        <v>859</v>
      </c>
      <c r="I558" s="42">
        <v>3453348.03</v>
      </c>
      <c r="J558" s="42">
        <v>3453348.03</v>
      </c>
      <c r="K558" s="42" t="b">
        <v>0</v>
      </c>
      <c r="L558" s="42">
        <v>4</v>
      </c>
      <c r="M558" s="42" t="s">
        <v>128</v>
      </c>
      <c r="N558" s="42">
        <v>2</v>
      </c>
      <c r="O558" s="42" t="s">
        <v>122</v>
      </c>
      <c r="P558" s="42">
        <v>122</v>
      </c>
      <c r="Q558" s="42" t="s">
        <v>346</v>
      </c>
      <c r="R558" s="42" t="s">
        <v>114</v>
      </c>
      <c r="U558" s="42" t="s">
        <v>121</v>
      </c>
      <c r="V558" s="42">
        <v>1</v>
      </c>
      <c r="W558" s="42" t="s">
        <v>116</v>
      </c>
      <c r="X558" s="42">
        <v>18</v>
      </c>
      <c r="Y558" s="42" t="s">
        <v>117</v>
      </c>
      <c r="Z558" s="42">
        <v>3625562.2406000001</v>
      </c>
      <c r="AA558" s="42">
        <v>0.95250000000000001</v>
      </c>
      <c r="AB558" s="42" t="s">
        <v>36</v>
      </c>
      <c r="AC558" s="42">
        <v>1</v>
      </c>
      <c r="AD558" s="42">
        <v>1</v>
      </c>
      <c r="AE558" s="42">
        <v>3453348.03</v>
      </c>
    </row>
    <row r="559" spans="1:31" x14ac:dyDescent="0.2">
      <c r="A559" s="42" t="s">
        <v>917</v>
      </c>
      <c r="B559" s="42">
        <v>1</v>
      </c>
      <c r="C559" s="42" t="s">
        <v>403</v>
      </c>
      <c r="D559" s="42">
        <v>230</v>
      </c>
      <c r="E559" s="42" t="s">
        <v>406</v>
      </c>
      <c r="F559" s="42" t="s">
        <v>647</v>
      </c>
      <c r="G559" s="42">
        <v>6887</v>
      </c>
      <c r="H559" s="42" t="s">
        <v>648</v>
      </c>
      <c r="I559" s="42">
        <v>1982321.13</v>
      </c>
      <c r="J559" s="42">
        <v>1987081.75</v>
      </c>
      <c r="K559" s="42" t="b">
        <v>1</v>
      </c>
      <c r="L559" s="42">
        <v>3</v>
      </c>
      <c r="M559" s="42" t="s">
        <v>209</v>
      </c>
      <c r="N559" s="42">
        <v>2</v>
      </c>
      <c r="O559" s="42" t="s">
        <v>122</v>
      </c>
      <c r="P559" s="42">
        <v>180</v>
      </c>
      <c r="Q559" s="42" t="s">
        <v>214</v>
      </c>
      <c r="R559" s="42" t="s">
        <v>204</v>
      </c>
      <c r="S559" s="42">
        <v>1</v>
      </c>
      <c r="T559" s="42" t="s">
        <v>205</v>
      </c>
      <c r="U559" s="42" t="s">
        <v>121</v>
      </c>
      <c r="V559" s="42">
        <v>9</v>
      </c>
      <c r="W559" s="42" t="s">
        <v>206</v>
      </c>
      <c r="X559" s="42">
        <v>25</v>
      </c>
      <c r="Y559" s="42" t="s">
        <v>227</v>
      </c>
      <c r="Z559" s="42">
        <v>1904247</v>
      </c>
      <c r="AA559" s="42">
        <v>1.0435000000000001</v>
      </c>
      <c r="AB559" s="42" t="s">
        <v>36</v>
      </c>
      <c r="AC559" s="42">
        <v>1</v>
      </c>
      <c r="AD559" s="42">
        <v>1</v>
      </c>
      <c r="AE559" s="42">
        <v>1987081.74</v>
      </c>
    </row>
    <row r="560" spans="1:31" x14ac:dyDescent="0.2">
      <c r="A560" s="42" t="s">
        <v>917</v>
      </c>
      <c r="B560" s="42">
        <v>1</v>
      </c>
      <c r="C560" s="42" t="s">
        <v>403</v>
      </c>
      <c r="D560" s="42">
        <v>230</v>
      </c>
      <c r="E560" s="42" t="s">
        <v>406</v>
      </c>
      <c r="F560" s="42" t="s">
        <v>649</v>
      </c>
      <c r="G560" s="42">
        <v>6895</v>
      </c>
      <c r="H560" s="42" t="s">
        <v>650</v>
      </c>
      <c r="I560" s="42">
        <v>2286533.19</v>
      </c>
      <c r="J560" s="42">
        <v>2286533.19</v>
      </c>
      <c r="K560" s="42" t="b">
        <v>0</v>
      </c>
      <c r="L560" s="42">
        <v>2</v>
      </c>
      <c r="M560" s="42" t="s">
        <v>248</v>
      </c>
      <c r="N560" s="42">
        <v>1</v>
      </c>
      <c r="O560" s="42" t="s">
        <v>112</v>
      </c>
      <c r="P560" s="42">
        <v>63</v>
      </c>
      <c r="Q560" s="42" t="s">
        <v>324</v>
      </c>
      <c r="R560" s="42" t="s">
        <v>114</v>
      </c>
      <c r="U560" s="42" t="s">
        <v>115</v>
      </c>
      <c r="V560" s="42">
        <v>1</v>
      </c>
      <c r="W560" s="42" t="s">
        <v>116</v>
      </c>
      <c r="X560" s="42">
        <v>18</v>
      </c>
      <c r="Y560" s="42" t="s">
        <v>117</v>
      </c>
      <c r="Z560" s="42">
        <v>17930.780999999999</v>
      </c>
      <c r="AA560" s="42">
        <v>127.52</v>
      </c>
      <c r="AB560" s="42" t="s">
        <v>36</v>
      </c>
      <c r="AC560" s="42">
        <v>1</v>
      </c>
      <c r="AD560" s="42">
        <v>1</v>
      </c>
      <c r="AE560" s="42">
        <v>2286533.19</v>
      </c>
    </row>
    <row r="561" spans="1:31" x14ac:dyDescent="0.2">
      <c r="A561" s="42" t="s">
        <v>917</v>
      </c>
      <c r="B561" s="42">
        <v>1</v>
      </c>
      <c r="C561" s="42" t="s">
        <v>403</v>
      </c>
      <c r="D561" s="42">
        <v>230</v>
      </c>
      <c r="E561" s="42" t="s">
        <v>406</v>
      </c>
      <c r="F561" s="42" t="s">
        <v>844</v>
      </c>
      <c r="G561" s="42">
        <v>6937</v>
      </c>
      <c r="H561" s="42" t="s">
        <v>845</v>
      </c>
      <c r="I561" s="42">
        <v>13374378.619999999</v>
      </c>
      <c r="J561" s="42">
        <v>13426357.27</v>
      </c>
      <c r="K561" s="42" t="b">
        <v>0</v>
      </c>
      <c r="L561" s="42">
        <v>5</v>
      </c>
      <c r="M561" s="42" t="s">
        <v>108</v>
      </c>
      <c r="N561" s="42">
        <v>2</v>
      </c>
      <c r="O561" s="42" t="s">
        <v>122</v>
      </c>
      <c r="P561" s="42">
        <v>1</v>
      </c>
      <c r="Q561" s="42" t="s">
        <v>326</v>
      </c>
      <c r="R561" s="42" t="s">
        <v>114</v>
      </c>
      <c r="U561" s="42" t="s">
        <v>121</v>
      </c>
      <c r="V561" s="42">
        <v>1</v>
      </c>
      <c r="W561" s="42" t="s">
        <v>116</v>
      </c>
      <c r="X561" s="42">
        <v>18</v>
      </c>
      <c r="Y561" s="42" t="s">
        <v>117</v>
      </c>
      <c r="Z561" s="42">
        <v>10942872.380999999</v>
      </c>
      <c r="AA561" s="42">
        <v>1.22695</v>
      </c>
      <c r="AB561" s="42" t="s">
        <v>36</v>
      </c>
      <c r="AC561" s="42">
        <v>1</v>
      </c>
      <c r="AD561" s="42">
        <v>1</v>
      </c>
      <c r="AE561" s="42">
        <v>13426357.27</v>
      </c>
    </row>
    <row r="562" spans="1:31" x14ac:dyDescent="0.2">
      <c r="A562" s="42" t="s">
        <v>917</v>
      </c>
      <c r="B562" s="42">
        <v>1</v>
      </c>
      <c r="C562" s="42" t="s">
        <v>403</v>
      </c>
      <c r="D562" s="42">
        <v>230</v>
      </c>
      <c r="E562" s="42" t="s">
        <v>406</v>
      </c>
      <c r="F562" s="42" t="s">
        <v>846</v>
      </c>
      <c r="G562" s="42">
        <v>6957</v>
      </c>
      <c r="H562" s="42" t="s">
        <v>847</v>
      </c>
      <c r="I562" s="42">
        <v>16967616.640000001</v>
      </c>
      <c r="J562" s="42">
        <v>16967616.640000001</v>
      </c>
      <c r="K562" s="42" t="b">
        <v>0</v>
      </c>
      <c r="L562" s="42">
        <v>5</v>
      </c>
      <c r="M562" s="42" t="s">
        <v>108</v>
      </c>
      <c r="N562" s="42">
        <v>2</v>
      </c>
      <c r="O562" s="42" t="s">
        <v>122</v>
      </c>
      <c r="P562" s="42">
        <v>1</v>
      </c>
      <c r="Q562" s="42" t="s">
        <v>326</v>
      </c>
      <c r="R562" s="42" t="s">
        <v>114</v>
      </c>
      <c r="U562" s="42" t="s">
        <v>121</v>
      </c>
      <c r="V562" s="42">
        <v>1</v>
      </c>
      <c r="W562" s="42" t="s">
        <v>116</v>
      </c>
      <c r="X562" s="42">
        <v>18</v>
      </c>
      <c r="Y562" s="42" t="s">
        <v>117</v>
      </c>
      <c r="Z562" s="42">
        <v>5660589.3700000001</v>
      </c>
      <c r="AA562" s="42">
        <v>2.9975000000000001</v>
      </c>
      <c r="AB562" s="42" t="s">
        <v>36</v>
      </c>
      <c r="AC562" s="42">
        <v>1</v>
      </c>
      <c r="AD562" s="42">
        <v>1</v>
      </c>
      <c r="AE562" s="42">
        <v>16967616.640000001</v>
      </c>
    </row>
    <row r="563" spans="1:31" x14ac:dyDescent="0.2">
      <c r="A563" s="42" t="s">
        <v>917</v>
      </c>
      <c r="B563" s="42">
        <v>1</v>
      </c>
      <c r="C563" s="42" t="s">
        <v>403</v>
      </c>
      <c r="D563" s="42">
        <v>230</v>
      </c>
      <c r="E563" s="42" t="s">
        <v>406</v>
      </c>
      <c r="F563" s="42" t="s">
        <v>263</v>
      </c>
      <c r="G563" s="42">
        <v>6959</v>
      </c>
      <c r="H563" s="42" t="s">
        <v>264</v>
      </c>
      <c r="I563" s="42">
        <v>3571617.94</v>
      </c>
      <c r="J563" s="42">
        <v>3571617.94</v>
      </c>
      <c r="K563" s="42" t="b">
        <v>0</v>
      </c>
      <c r="L563" s="42">
        <v>2</v>
      </c>
      <c r="M563" s="42" t="s">
        <v>248</v>
      </c>
      <c r="N563" s="42">
        <v>1</v>
      </c>
      <c r="O563" s="42" t="s">
        <v>112</v>
      </c>
      <c r="P563" s="42">
        <v>63</v>
      </c>
      <c r="Q563" s="42" t="s">
        <v>324</v>
      </c>
      <c r="R563" s="42" t="s">
        <v>114</v>
      </c>
      <c r="U563" s="42" t="s">
        <v>115</v>
      </c>
      <c r="V563" s="42">
        <v>1</v>
      </c>
      <c r="W563" s="42" t="s">
        <v>116</v>
      </c>
      <c r="X563" s="42">
        <v>18</v>
      </c>
      <c r="Y563" s="42" t="s">
        <v>117</v>
      </c>
      <c r="Z563" s="42">
        <v>1949679.5366</v>
      </c>
      <c r="AA563" s="42">
        <v>1.8319000000000001</v>
      </c>
      <c r="AB563" s="42" t="s">
        <v>36</v>
      </c>
      <c r="AC563" s="42">
        <v>1</v>
      </c>
      <c r="AD563" s="42">
        <v>1</v>
      </c>
      <c r="AE563" s="42">
        <v>3571617.94</v>
      </c>
    </row>
    <row r="564" spans="1:31" x14ac:dyDescent="0.2">
      <c r="A564" s="42" t="s">
        <v>917</v>
      </c>
      <c r="B564" s="42">
        <v>1</v>
      </c>
      <c r="C564" s="42" t="s">
        <v>403</v>
      </c>
      <c r="D564" s="42">
        <v>230</v>
      </c>
      <c r="E564" s="42" t="s">
        <v>406</v>
      </c>
      <c r="F564" s="42" t="s">
        <v>201</v>
      </c>
      <c r="G564" s="42">
        <v>7000</v>
      </c>
      <c r="H564" s="42" t="s">
        <v>202</v>
      </c>
      <c r="I564" s="42">
        <v>22197793.98</v>
      </c>
      <c r="J564" s="42">
        <v>22197793.98</v>
      </c>
      <c r="K564" s="42" t="b">
        <v>0</v>
      </c>
      <c r="L564" s="42">
        <v>5</v>
      </c>
      <c r="M564" s="42" t="s">
        <v>108</v>
      </c>
      <c r="N564" s="42">
        <v>4</v>
      </c>
      <c r="O564" s="42" t="s">
        <v>109</v>
      </c>
      <c r="P564" s="42">
        <v>6</v>
      </c>
      <c r="Q564" s="42" t="s">
        <v>109</v>
      </c>
      <c r="R564" s="42" t="s">
        <v>114</v>
      </c>
      <c r="U564" s="42" t="s">
        <v>121</v>
      </c>
      <c r="V564" s="42">
        <v>1</v>
      </c>
      <c r="W564" s="42" t="s">
        <v>116</v>
      </c>
      <c r="X564" s="42">
        <v>18</v>
      </c>
      <c r="Y564" s="42" t="s">
        <v>117</v>
      </c>
      <c r="Z564" s="42">
        <v>2407047.71</v>
      </c>
      <c r="AA564" s="42">
        <v>9.2219999999999995</v>
      </c>
      <c r="AB564" s="42" t="s">
        <v>36</v>
      </c>
      <c r="AC564" s="42">
        <v>1</v>
      </c>
      <c r="AD564" s="42">
        <v>1</v>
      </c>
      <c r="AE564" s="42">
        <v>22197793.98</v>
      </c>
    </row>
    <row r="565" spans="1:31" x14ac:dyDescent="0.2">
      <c r="A565" s="42" t="s">
        <v>917</v>
      </c>
      <c r="B565" s="42">
        <v>1</v>
      </c>
      <c r="C565" s="42" t="s">
        <v>403</v>
      </c>
      <c r="D565" s="42">
        <v>230</v>
      </c>
      <c r="E565" s="42" t="s">
        <v>406</v>
      </c>
      <c r="F565" s="42" t="s">
        <v>257</v>
      </c>
      <c r="G565" s="42">
        <v>7296</v>
      </c>
      <c r="H565" s="42" t="s">
        <v>258</v>
      </c>
      <c r="I565" s="42">
        <v>1948719.49</v>
      </c>
      <c r="J565" s="42">
        <v>1956861.78</v>
      </c>
      <c r="K565" s="42" t="b">
        <v>1</v>
      </c>
      <c r="L565" s="42">
        <v>5</v>
      </c>
      <c r="M565" s="42" t="s">
        <v>108</v>
      </c>
      <c r="N565" s="42">
        <v>2</v>
      </c>
      <c r="O565" s="42" t="s">
        <v>122</v>
      </c>
      <c r="P565" s="42">
        <v>22</v>
      </c>
      <c r="Q565" s="42" t="s">
        <v>209</v>
      </c>
      <c r="R565" s="42" t="s">
        <v>204</v>
      </c>
      <c r="S565" s="42">
        <v>1</v>
      </c>
      <c r="T565" s="42" t="s">
        <v>205</v>
      </c>
      <c r="U565" s="42" t="s">
        <v>229</v>
      </c>
      <c r="V565" s="42">
        <v>9</v>
      </c>
      <c r="W565" s="42" t="s">
        <v>206</v>
      </c>
      <c r="X565" s="42">
        <v>4</v>
      </c>
      <c r="Y565" s="42" t="s">
        <v>230</v>
      </c>
      <c r="Z565" s="42">
        <v>1357047</v>
      </c>
      <c r="AA565" s="42">
        <v>1.4419999999999999</v>
      </c>
      <c r="AB565" s="42" t="s">
        <v>36</v>
      </c>
      <c r="AC565" s="42">
        <v>1</v>
      </c>
      <c r="AD565" s="42">
        <v>1</v>
      </c>
      <c r="AE565" s="42">
        <v>1956861.77</v>
      </c>
    </row>
    <row r="566" spans="1:31" x14ac:dyDescent="0.2">
      <c r="A566" s="42" t="s">
        <v>917</v>
      </c>
      <c r="B566" s="42">
        <v>1</v>
      </c>
      <c r="C566" s="42" t="s">
        <v>403</v>
      </c>
      <c r="D566" s="42">
        <v>230</v>
      </c>
      <c r="E566" s="42" t="s">
        <v>406</v>
      </c>
      <c r="F566" s="42" t="s">
        <v>255</v>
      </c>
      <c r="G566" s="42">
        <v>7297</v>
      </c>
      <c r="H566" s="42" t="s">
        <v>256</v>
      </c>
      <c r="I566" s="42">
        <v>2013798.26</v>
      </c>
      <c r="J566" s="42">
        <v>2016336.13</v>
      </c>
      <c r="K566" s="42" t="b">
        <v>1</v>
      </c>
      <c r="L566" s="42">
        <v>5</v>
      </c>
      <c r="M566" s="42" t="s">
        <v>108</v>
      </c>
      <c r="N566" s="42">
        <v>2</v>
      </c>
      <c r="O566" s="42" t="s">
        <v>122</v>
      </c>
      <c r="P566" s="42">
        <v>80</v>
      </c>
      <c r="Q566" s="42" t="s">
        <v>213</v>
      </c>
      <c r="R566" s="42" t="s">
        <v>204</v>
      </c>
      <c r="S566" s="42">
        <v>1</v>
      </c>
      <c r="T566" s="42" t="s">
        <v>205</v>
      </c>
      <c r="U566" s="42" t="s">
        <v>121</v>
      </c>
      <c r="V566" s="42">
        <v>9</v>
      </c>
      <c r="W566" s="42" t="s">
        <v>206</v>
      </c>
      <c r="X566" s="42">
        <v>4</v>
      </c>
      <c r="Y566" s="42" t="s">
        <v>230</v>
      </c>
      <c r="Z566" s="42">
        <v>1268934</v>
      </c>
      <c r="AA566" s="42">
        <v>1.589</v>
      </c>
      <c r="AB566" s="42" t="s">
        <v>36</v>
      </c>
      <c r="AC566" s="42">
        <v>1</v>
      </c>
      <c r="AD566" s="42">
        <v>1</v>
      </c>
      <c r="AE566" s="42">
        <v>2016336.13</v>
      </c>
    </row>
    <row r="567" spans="1:31" x14ac:dyDescent="0.2">
      <c r="A567" s="42" t="s">
        <v>917</v>
      </c>
      <c r="B567" s="42">
        <v>1</v>
      </c>
      <c r="C567" s="42" t="s">
        <v>403</v>
      </c>
      <c r="D567" s="42">
        <v>230</v>
      </c>
      <c r="E567" s="42" t="s">
        <v>406</v>
      </c>
      <c r="F567" s="42" t="s">
        <v>261</v>
      </c>
      <c r="G567" s="42">
        <v>7299</v>
      </c>
      <c r="H567" s="42" t="s">
        <v>262</v>
      </c>
      <c r="I567" s="42">
        <v>1970222.59</v>
      </c>
      <c r="J567" s="42">
        <v>1974070.68</v>
      </c>
      <c r="K567" s="42" t="b">
        <v>1</v>
      </c>
      <c r="L567" s="42">
        <v>5</v>
      </c>
      <c r="M567" s="42" t="s">
        <v>108</v>
      </c>
      <c r="N567" s="42">
        <v>2</v>
      </c>
      <c r="O567" s="42" t="s">
        <v>122</v>
      </c>
      <c r="P567" s="42">
        <v>80</v>
      </c>
      <c r="Q567" s="42" t="s">
        <v>213</v>
      </c>
      <c r="R567" s="42" t="s">
        <v>204</v>
      </c>
      <c r="S567" s="42">
        <v>1</v>
      </c>
      <c r="T567" s="42" t="s">
        <v>205</v>
      </c>
      <c r="U567" s="42" t="s">
        <v>121</v>
      </c>
      <c r="V567" s="42">
        <v>9</v>
      </c>
      <c r="W567" s="42" t="s">
        <v>206</v>
      </c>
      <c r="X567" s="42">
        <v>4</v>
      </c>
      <c r="Y567" s="42" t="s">
        <v>230</v>
      </c>
      <c r="Z567" s="42">
        <v>1282697</v>
      </c>
      <c r="AA567" s="42">
        <v>1.5389999999999999</v>
      </c>
      <c r="AB567" s="42" t="s">
        <v>36</v>
      </c>
      <c r="AC567" s="42">
        <v>1</v>
      </c>
      <c r="AD567" s="42">
        <v>1</v>
      </c>
      <c r="AE567" s="42">
        <v>1974070.68</v>
      </c>
    </row>
    <row r="568" spans="1:31" x14ac:dyDescent="0.2">
      <c r="A568" s="42" t="s">
        <v>917</v>
      </c>
      <c r="B568" s="42">
        <v>1</v>
      </c>
      <c r="C568" s="42" t="s">
        <v>403</v>
      </c>
      <c r="D568" s="42">
        <v>230</v>
      </c>
      <c r="E568" s="42" t="s">
        <v>406</v>
      </c>
      <c r="F568" s="42" t="s">
        <v>848</v>
      </c>
      <c r="G568" s="42">
        <v>10102</v>
      </c>
      <c r="H568" s="42" t="s">
        <v>849</v>
      </c>
      <c r="I568" s="42">
        <v>10741546.449999999</v>
      </c>
      <c r="J568" s="42">
        <v>10741546.449999999</v>
      </c>
      <c r="K568" s="42" t="b">
        <v>0</v>
      </c>
      <c r="L568" s="42">
        <v>5</v>
      </c>
      <c r="M568" s="42" t="s">
        <v>108</v>
      </c>
      <c r="N568" s="42">
        <v>4</v>
      </c>
      <c r="O568" s="42" t="s">
        <v>109</v>
      </c>
      <c r="P568" s="42">
        <v>26</v>
      </c>
      <c r="Q568" s="42" t="s">
        <v>327</v>
      </c>
      <c r="R568" s="42" t="s">
        <v>114</v>
      </c>
      <c r="U568" s="42" t="s">
        <v>121</v>
      </c>
      <c r="V568" s="42">
        <v>1</v>
      </c>
      <c r="W568" s="42" t="s">
        <v>116</v>
      </c>
      <c r="X568" s="42">
        <v>18</v>
      </c>
      <c r="Y568" s="42" t="s">
        <v>117</v>
      </c>
      <c r="Z568" s="42">
        <v>594375.07999999996</v>
      </c>
      <c r="AA568" s="42">
        <v>18.071999999999999</v>
      </c>
      <c r="AB568" s="42" t="s">
        <v>36</v>
      </c>
      <c r="AC568" s="42">
        <v>1</v>
      </c>
      <c r="AD568" s="42">
        <v>1</v>
      </c>
      <c r="AE568" s="42">
        <v>10741546.449999999</v>
      </c>
    </row>
    <row r="569" spans="1:31" x14ac:dyDescent="0.2">
      <c r="A569" s="42" t="s">
        <v>917</v>
      </c>
      <c r="B569" s="42">
        <v>1</v>
      </c>
      <c r="C569" s="42" t="s">
        <v>403</v>
      </c>
      <c r="D569" s="42">
        <v>230</v>
      </c>
      <c r="E569" s="42" t="s">
        <v>406</v>
      </c>
      <c r="F569" s="42" t="s">
        <v>850</v>
      </c>
      <c r="G569" s="42">
        <v>11152</v>
      </c>
      <c r="H569" s="42" t="s">
        <v>851</v>
      </c>
      <c r="I569" s="42">
        <v>12971104.58</v>
      </c>
      <c r="J569" s="42">
        <v>12971104.58</v>
      </c>
      <c r="K569" s="42" t="b">
        <v>0</v>
      </c>
      <c r="L569" s="42">
        <v>5</v>
      </c>
      <c r="M569" s="42" t="s">
        <v>108</v>
      </c>
      <c r="N569" s="42">
        <v>27</v>
      </c>
      <c r="O569" s="42" t="s">
        <v>129</v>
      </c>
      <c r="P569" s="42">
        <v>10</v>
      </c>
      <c r="Q569" s="42" t="s">
        <v>129</v>
      </c>
      <c r="R569" s="42" t="s">
        <v>114</v>
      </c>
      <c r="U569" s="42" t="s">
        <v>121</v>
      </c>
      <c r="V569" s="42">
        <v>1</v>
      </c>
      <c r="W569" s="42" t="s">
        <v>116</v>
      </c>
      <c r="X569" s="42">
        <v>18</v>
      </c>
      <c r="Y569" s="42" t="s">
        <v>117</v>
      </c>
      <c r="Z569" s="42">
        <v>6602751.1200000001</v>
      </c>
      <c r="AA569" s="42">
        <v>1.9644999999999999</v>
      </c>
      <c r="AB569" s="42" t="s">
        <v>36</v>
      </c>
      <c r="AC569" s="42">
        <v>1</v>
      </c>
      <c r="AD569" s="42">
        <v>1</v>
      </c>
      <c r="AE569" s="42">
        <v>12971104.58</v>
      </c>
    </row>
    <row r="570" spans="1:31" x14ac:dyDescent="0.2">
      <c r="A570" s="42" t="s">
        <v>917</v>
      </c>
      <c r="B570" s="42">
        <v>1</v>
      </c>
      <c r="C570" s="42" t="s">
        <v>403</v>
      </c>
      <c r="D570" s="42">
        <v>230</v>
      </c>
      <c r="E570" s="42" t="s">
        <v>406</v>
      </c>
      <c r="F570" s="42" t="s">
        <v>852</v>
      </c>
      <c r="G570" s="42">
        <v>11153</v>
      </c>
      <c r="H570" s="42" t="s">
        <v>853</v>
      </c>
      <c r="I570" s="42">
        <v>8058112.4000000004</v>
      </c>
      <c r="J570" s="42">
        <v>8058112.4000000004</v>
      </c>
      <c r="K570" s="42" t="b">
        <v>0</v>
      </c>
      <c r="L570" s="42">
        <v>5</v>
      </c>
      <c r="M570" s="42" t="s">
        <v>108</v>
      </c>
      <c r="N570" s="42">
        <v>2</v>
      </c>
      <c r="O570" s="42" t="s">
        <v>122</v>
      </c>
      <c r="P570" s="42">
        <v>1</v>
      </c>
      <c r="Q570" s="42" t="s">
        <v>326</v>
      </c>
      <c r="R570" s="42" t="s">
        <v>114</v>
      </c>
      <c r="U570" s="42" t="s">
        <v>121</v>
      </c>
      <c r="V570" s="42">
        <v>1</v>
      </c>
      <c r="W570" s="42" t="s">
        <v>116</v>
      </c>
      <c r="X570" s="42">
        <v>18</v>
      </c>
      <c r="Y570" s="42" t="s">
        <v>117</v>
      </c>
      <c r="Z570" s="42">
        <v>3031644.9980000001</v>
      </c>
      <c r="AA570" s="42">
        <v>2.6579999999999999</v>
      </c>
      <c r="AB570" s="42" t="s">
        <v>36</v>
      </c>
      <c r="AC570" s="42">
        <v>1</v>
      </c>
      <c r="AD570" s="42">
        <v>1</v>
      </c>
      <c r="AE570" s="42">
        <v>8058112.4000000004</v>
      </c>
    </row>
    <row r="571" spans="1:31" x14ac:dyDescent="0.2">
      <c r="A571" s="42" t="s">
        <v>917</v>
      </c>
      <c r="B571" s="42">
        <v>1</v>
      </c>
      <c r="C571" s="42" t="s">
        <v>403</v>
      </c>
      <c r="D571" s="42">
        <v>230</v>
      </c>
      <c r="E571" s="42" t="s">
        <v>406</v>
      </c>
      <c r="F571" s="42" t="s">
        <v>694</v>
      </c>
      <c r="G571" s="42">
        <v>11155</v>
      </c>
      <c r="H571" s="42" t="s">
        <v>695</v>
      </c>
      <c r="I571" s="42">
        <v>9941375.6400000006</v>
      </c>
      <c r="J571" s="42">
        <v>9941375.6400000006</v>
      </c>
      <c r="K571" s="42" t="b">
        <v>0</v>
      </c>
      <c r="L571" s="42">
        <v>5</v>
      </c>
      <c r="M571" s="42" t="s">
        <v>108</v>
      </c>
      <c r="N571" s="42">
        <v>5</v>
      </c>
      <c r="O571" s="42" t="s">
        <v>143</v>
      </c>
      <c r="P571" s="42">
        <v>55</v>
      </c>
      <c r="Q571" s="42" t="s">
        <v>143</v>
      </c>
      <c r="R571" s="42" t="s">
        <v>114</v>
      </c>
      <c r="U571" s="42" t="s">
        <v>115</v>
      </c>
      <c r="V571" s="42">
        <v>1</v>
      </c>
      <c r="W571" s="42" t="s">
        <v>116</v>
      </c>
      <c r="X571" s="42">
        <v>18</v>
      </c>
      <c r="Y571" s="42" t="s">
        <v>117</v>
      </c>
      <c r="Z571" s="42">
        <v>69470.12</v>
      </c>
      <c r="AA571" s="42">
        <v>143.10290000000001</v>
      </c>
      <c r="AB571" s="42" t="s">
        <v>36</v>
      </c>
      <c r="AC571" s="42">
        <v>1</v>
      </c>
      <c r="AD571" s="42">
        <v>1</v>
      </c>
      <c r="AE571" s="42">
        <v>9941375.6400000006</v>
      </c>
    </row>
    <row r="572" spans="1:31" x14ac:dyDescent="0.2">
      <c r="A572" s="42" t="s">
        <v>917</v>
      </c>
      <c r="B572" s="42">
        <v>1</v>
      </c>
      <c r="C572" s="42" t="s">
        <v>403</v>
      </c>
      <c r="D572" s="42">
        <v>230</v>
      </c>
      <c r="E572" s="42" t="s">
        <v>406</v>
      </c>
      <c r="F572" s="42" t="s">
        <v>854</v>
      </c>
      <c r="G572" s="42">
        <v>11156</v>
      </c>
      <c r="H572" s="42" t="s">
        <v>855</v>
      </c>
      <c r="I572" s="42">
        <v>17101261.719999999</v>
      </c>
      <c r="J572" s="42">
        <v>17101261.719999999</v>
      </c>
      <c r="K572" s="42" t="b">
        <v>0</v>
      </c>
      <c r="L572" s="42">
        <v>5</v>
      </c>
      <c r="M572" s="42" t="s">
        <v>108</v>
      </c>
      <c r="N572" s="42">
        <v>4</v>
      </c>
      <c r="O572" s="42" t="s">
        <v>109</v>
      </c>
      <c r="P572" s="42">
        <v>6</v>
      </c>
      <c r="Q572" s="42" t="s">
        <v>109</v>
      </c>
      <c r="R572" s="42" t="s">
        <v>114</v>
      </c>
      <c r="U572" s="42" t="s">
        <v>121</v>
      </c>
      <c r="V572" s="42">
        <v>1</v>
      </c>
      <c r="W572" s="42" t="s">
        <v>116</v>
      </c>
      <c r="X572" s="42">
        <v>18</v>
      </c>
      <c r="Y572" s="42" t="s">
        <v>117</v>
      </c>
      <c r="Z572" s="42">
        <v>57889.490400000002</v>
      </c>
      <c r="AA572" s="42">
        <v>295.41219999999998</v>
      </c>
      <c r="AB572" s="42" t="s">
        <v>36</v>
      </c>
      <c r="AC572" s="42">
        <v>1</v>
      </c>
      <c r="AD572" s="42">
        <v>1</v>
      </c>
      <c r="AE572" s="42">
        <v>17101261.719999999</v>
      </c>
    </row>
    <row r="573" spans="1:31" x14ac:dyDescent="0.2">
      <c r="A573" s="42" t="s">
        <v>917</v>
      </c>
      <c r="B573" s="42">
        <v>1</v>
      </c>
      <c r="C573" s="42" t="s">
        <v>403</v>
      </c>
      <c r="D573" s="42">
        <v>230</v>
      </c>
      <c r="E573" s="42" t="s">
        <v>406</v>
      </c>
      <c r="F573" s="42" t="s">
        <v>856</v>
      </c>
      <c r="G573" s="42">
        <v>11157</v>
      </c>
      <c r="H573" s="42" t="s">
        <v>857</v>
      </c>
      <c r="I573" s="42">
        <v>3866706.82</v>
      </c>
      <c r="J573" s="42">
        <v>3866706.82</v>
      </c>
      <c r="K573" s="42" t="b">
        <v>0</v>
      </c>
      <c r="L573" s="42">
        <v>5</v>
      </c>
      <c r="M573" s="42" t="s">
        <v>108</v>
      </c>
      <c r="N573" s="42">
        <v>2</v>
      </c>
      <c r="O573" s="42" t="s">
        <v>122</v>
      </c>
      <c r="P573" s="42">
        <v>2</v>
      </c>
      <c r="Q573" s="42" t="s">
        <v>322</v>
      </c>
      <c r="R573" s="42" t="s">
        <v>114</v>
      </c>
      <c r="U573" s="42" t="s">
        <v>121</v>
      </c>
      <c r="V573" s="42">
        <v>1</v>
      </c>
      <c r="W573" s="42" t="s">
        <v>116</v>
      </c>
      <c r="X573" s="42">
        <v>18</v>
      </c>
      <c r="Y573" s="42" t="s">
        <v>117</v>
      </c>
      <c r="Z573" s="42">
        <v>2233799.4330000002</v>
      </c>
      <c r="AA573" s="42">
        <v>1.7310000000000001</v>
      </c>
      <c r="AB573" s="42" t="s">
        <v>36</v>
      </c>
      <c r="AC573" s="42">
        <v>1</v>
      </c>
      <c r="AD573" s="42">
        <v>1</v>
      </c>
      <c r="AE573" s="42">
        <v>3866706.82</v>
      </c>
    </row>
    <row r="574" spans="1:31" x14ac:dyDescent="0.2">
      <c r="A574" s="42" t="s">
        <v>917</v>
      </c>
      <c r="B574" s="42">
        <v>1</v>
      </c>
      <c r="C574" s="42" t="s">
        <v>403</v>
      </c>
      <c r="D574" s="42">
        <v>230</v>
      </c>
      <c r="E574" s="42" t="s">
        <v>406</v>
      </c>
      <c r="F574" s="42" t="s">
        <v>387</v>
      </c>
      <c r="G574" s="42">
        <v>11158</v>
      </c>
      <c r="H574" s="42" t="s">
        <v>388</v>
      </c>
      <c r="I574" s="42">
        <v>11409771.57</v>
      </c>
      <c r="J574" s="42">
        <v>11409771.57</v>
      </c>
      <c r="K574" s="42" t="b">
        <v>0</v>
      </c>
      <c r="L574" s="42">
        <v>4</v>
      </c>
      <c r="M574" s="42" t="s">
        <v>128</v>
      </c>
      <c r="N574" s="42">
        <v>2</v>
      </c>
      <c r="O574" s="42" t="s">
        <v>122</v>
      </c>
      <c r="P574" s="42">
        <v>14</v>
      </c>
      <c r="Q574" s="42" t="s">
        <v>323</v>
      </c>
      <c r="R574" s="42" t="s">
        <v>114</v>
      </c>
      <c r="U574" s="42" t="s">
        <v>121</v>
      </c>
      <c r="V574" s="42">
        <v>1</v>
      </c>
      <c r="W574" s="42" t="s">
        <v>116</v>
      </c>
      <c r="X574" s="42">
        <v>18</v>
      </c>
      <c r="Y574" s="42" t="s">
        <v>117</v>
      </c>
      <c r="Z574" s="42">
        <v>11537841.615</v>
      </c>
      <c r="AA574" s="42">
        <v>0.9889</v>
      </c>
      <c r="AB574" s="42" t="s">
        <v>36</v>
      </c>
      <c r="AC574" s="42">
        <v>1</v>
      </c>
      <c r="AD574" s="42">
        <v>1</v>
      </c>
      <c r="AE574" s="42">
        <v>11409771.57</v>
      </c>
    </row>
    <row r="575" spans="1:31" x14ac:dyDescent="0.2">
      <c r="A575" s="42" t="s">
        <v>917</v>
      </c>
      <c r="B575" s="42">
        <v>1</v>
      </c>
      <c r="C575" s="42" t="s">
        <v>403</v>
      </c>
      <c r="D575" s="42">
        <v>230</v>
      </c>
      <c r="E575" s="42" t="s">
        <v>406</v>
      </c>
      <c r="F575" s="42" t="s">
        <v>860</v>
      </c>
      <c r="G575" s="42">
        <v>11159</v>
      </c>
      <c r="H575" s="42" t="s">
        <v>861</v>
      </c>
      <c r="I575" s="42">
        <v>13024638.91</v>
      </c>
      <c r="J575" s="42">
        <v>13024638.91</v>
      </c>
      <c r="K575" s="42" t="b">
        <v>0</v>
      </c>
      <c r="L575" s="42">
        <v>4</v>
      </c>
      <c r="M575" s="42" t="s">
        <v>128</v>
      </c>
      <c r="N575" s="42">
        <v>2</v>
      </c>
      <c r="O575" s="42" t="s">
        <v>122</v>
      </c>
      <c r="P575" s="42">
        <v>14</v>
      </c>
      <c r="Q575" s="42" t="s">
        <v>323</v>
      </c>
      <c r="R575" s="42" t="s">
        <v>114</v>
      </c>
      <c r="U575" s="42" t="s">
        <v>115</v>
      </c>
      <c r="V575" s="42">
        <v>1</v>
      </c>
      <c r="W575" s="42" t="s">
        <v>116</v>
      </c>
      <c r="X575" s="42">
        <v>18</v>
      </c>
      <c r="Y575" s="42" t="s">
        <v>117</v>
      </c>
      <c r="Z575" s="42">
        <v>914009.74800000002</v>
      </c>
      <c r="AA575" s="42">
        <v>14.25</v>
      </c>
      <c r="AB575" s="42" t="s">
        <v>36</v>
      </c>
      <c r="AC575" s="42">
        <v>1</v>
      </c>
      <c r="AD575" s="42">
        <v>1</v>
      </c>
      <c r="AE575" s="42">
        <v>13024638.91</v>
      </c>
    </row>
    <row r="576" spans="1:31" x14ac:dyDescent="0.2">
      <c r="A576" s="42" t="s">
        <v>917</v>
      </c>
      <c r="B576" s="42">
        <v>1</v>
      </c>
      <c r="C576" s="42" t="s">
        <v>403</v>
      </c>
      <c r="D576" s="42">
        <v>230</v>
      </c>
      <c r="E576" s="42" t="s">
        <v>406</v>
      </c>
      <c r="F576" s="42" t="s">
        <v>862</v>
      </c>
      <c r="G576" s="42">
        <v>11161</v>
      </c>
      <c r="H576" s="42" t="s">
        <v>863</v>
      </c>
      <c r="I576" s="42">
        <v>18530241.109999999</v>
      </c>
      <c r="J576" s="42">
        <v>18530241.109999999</v>
      </c>
      <c r="K576" s="42" t="b">
        <v>0</v>
      </c>
      <c r="L576" s="42">
        <v>4</v>
      </c>
      <c r="M576" s="42" t="s">
        <v>128</v>
      </c>
      <c r="N576" s="42">
        <v>1</v>
      </c>
      <c r="O576" s="42" t="s">
        <v>112</v>
      </c>
      <c r="P576" s="42">
        <v>38</v>
      </c>
      <c r="Q576" s="42" t="s">
        <v>378</v>
      </c>
      <c r="R576" s="42" t="s">
        <v>114</v>
      </c>
      <c r="U576" s="42" t="s">
        <v>115</v>
      </c>
      <c r="V576" s="42">
        <v>1</v>
      </c>
      <c r="W576" s="42" t="s">
        <v>116</v>
      </c>
      <c r="X576" s="42">
        <v>18</v>
      </c>
      <c r="Y576" s="42" t="s">
        <v>117</v>
      </c>
      <c r="Z576" s="42">
        <v>172934.16</v>
      </c>
      <c r="AA576" s="42">
        <v>107.152</v>
      </c>
      <c r="AB576" s="42" t="s">
        <v>36</v>
      </c>
      <c r="AC576" s="42">
        <v>1</v>
      </c>
      <c r="AD576" s="42">
        <v>1</v>
      </c>
      <c r="AE576" s="42">
        <v>18530241.109999999</v>
      </c>
    </row>
    <row r="577" spans="1:31" x14ac:dyDescent="0.2">
      <c r="A577" s="42" t="s">
        <v>917</v>
      </c>
      <c r="B577" s="42">
        <v>1</v>
      </c>
      <c r="C577" s="42" t="s">
        <v>403</v>
      </c>
      <c r="D577" s="42">
        <v>230</v>
      </c>
      <c r="E577" s="42" t="s">
        <v>406</v>
      </c>
      <c r="F577" s="42" t="s">
        <v>864</v>
      </c>
      <c r="G577" s="42">
        <v>11163</v>
      </c>
      <c r="H577" s="42" t="s">
        <v>865</v>
      </c>
      <c r="I577" s="42">
        <v>12501415.57</v>
      </c>
      <c r="J577" s="42">
        <v>12501415.57</v>
      </c>
      <c r="K577" s="42" t="b">
        <v>0</v>
      </c>
      <c r="L577" s="42">
        <v>4</v>
      </c>
      <c r="M577" s="42" t="s">
        <v>128</v>
      </c>
      <c r="N577" s="42">
        <v>2</v>
      </c>
      <c r="O577" s="42" t="s">
        <v>122</v>
      </c>
      <c r="P577" s="42">
        <v>275</v>
      </c>
      <c r="Q577" s="42" t="s">
        <v>866</v>
      </c>
      <c r="R577" s="42" t="s">
        <v>114</v>
      </c>
      <c r="U577" s="42" t="s">
        <v>115</v>
      </c>
      <c r="V577" s="42">
        <v>1</v>
      </c>
      <c r="W577" s="42" t="s">
        <v>116</v>
      </c>
      <c r="X577" s="42">
        <v>18</v>
      </c>
      <c r="Y577" s="42" t="s">
        <v>117</v>
      </c>
      <c r="Z577" s="42">
        <v>127032.06</v>
      </c>
      <c r="AA577" s="42">
        <v>98.411500000000004</v>
      </c>
      <c r="AB577" s="42" t="s">
        <v>36</v>
      </c>
      <c r="AC577" s="42">
        <v>1</v>
      </c>
      <c r="AD577" s="42">
        <v>1</v>
      </c>
      <c r="AE577" s="42">
        <v>12501415.57</v>
      </c>
    </row>
    <row r="578" spans="1:31" x14ac:dyDescent="0.2">
      <c r="A578" s="42" t="s">
        <v>917</v>
      </c>
      <c r="B578" s="42">
        <v>1</v>
      </c>
      <c r="C578" s="42" t="s">
        <v>403</v>
      </c>
      <c r="D578" s="42">
        <v>230</v>
      </c>
      <c r="E578" s="42" t="s">
        <v>406</v>
      </c>
      <c r="F578" s="42" t="s">
        <v>867</v>
      </c>
      <c r="G578" s="42">
        <v>11283</v>
      </c>
      <c r="H578" s="42" t="s">
        <v>868</v>
      </c>
      <c r="I578" s="42">
        <v>4248529.5</v>
      </c>
      <c r="J578" s="42">
        <v>4248529.5</v>
      </c>
      <c r="K578" s="42" t="b">
        <v>0</v>
      </c>
      <c r="L578" s="42">
        <v>4</v>
      </c>
      <c r="M578" s="42" t="s">
        <v>128</v>
      </c>
      <c r="N578" s="42">
        <v>2</v>
      </c>
      <c r="O578" s="42" t="s">
        <v>122</v>
      </c>
      <c r="P578" s="42">
        <v>14</v>
      </c>
      <c r="Q578" s="42" t="s">
        <v>323</v>
      </c>
      <c r="R578" s="42" t="s">
        <v>114</v>
      </c>
      <c r="U578" s="42" t="s">
        <v>121</v>
      </c>
      <c r="V578" s="42">
        <v>1</v>
      </c>
      <c r="W578" s="42" t="s">
        <v>116</v>
      </c>
      <c r="X578" s="42">
        <v>18</v>
      </c>
      <c r="Y578" s="42" t="s">
        <v>117</v>
      </c>
      <c r="Z578" s="42">
        <v>4426012.6090000002</v>
      </c>
      <c r="AA578" s="42">
        <v>0.95989999999999998</v>
      </c>
      <c r="AB578" s="42" t="s">
        <v>36</v>
      </c>
      <c r="AC578" s="42">
        <v>1</v>
      </c>
      <c r="AD578" s="42">
        <v>1</v>
      </c>
      <c r="AE578" s="42">
        <v>4248529.5</v>
      </c>
    </row>
    <row r="579" spans="1:31" x14ac:dyDescent="0.2">
      <c r="A579" s="42" t="s">
        <v>917</v>
      </c>
      <c r="B579" s="42">
        <v>1</v>
      </c>
      <c r="C579" s="42" t="s">
        <v>403</v>
      </c>
      <c r="D579" s="42">
        <v>230</v>
      </c>
      <c r="E579" s="42" t="s">
        <v>406</v>
      </c>
      <c r="F579" s="42" t="s">
        <v>869</v>
      </c>
      <c r="G579" s="42">
        <v>11297</v>
      </c>
      <c r="H579" s="42" t="s">
        <v>870</v>
      </c>
      <c r="I579" s="42">
        <v>9022172.9700000007</v>
      </c>
      <c r="J579" s="42">
        <v>9022172.9700000007</v>
      </c>
      <c r="K579" s="42" t="b">
        <v>0</v>
      </c>
      <c r="L579" s="42">
        <v>4</v>
      </c>
      <c r="M579" s="42" t="s">
        <v>128</v>
      </c>
      <c r="N579" s="42">
        <v>2</v>
      </c>
      <c r="O579" s="42" t="s">
        <v>122</v>
      </c>
      <c r="P579" s="42">
        <v>14</v>
      </c>
      <c r="Q579" s="42" t="s">
        <v>323</v>
      </c>
      <c r="R579" s="42" t="s">
        <v>114</v>
      </c>
      <c r="U579" s="42" t="s">
        <v>121</v>
      </c>
      <c r="V579" s="42">
        <v>1</v>
      </c>
      <c r="W579" s="42" t="s">
        <v>116</v>
      </c>
      <c r="X579" s="42">
        <v>18</v>
      </c>
      <c r="Y579" s="42" t="s">
        <v>117</v>
      </c>
      <c r="Z579" s="42">
        <v>10803703.710000001</v>
      </c>
      <c r="AA579" s="42">
        <v>0.83509999999999995</v>
      </c>
      <c r="AB579" s="42" t="s">
        <v>36</v>
      </c>
      <c r="AC579" s="42">
        <v>1</v>
      </c>
      <c r="AD579" s="42">
        <v>1</v>
      </c>
      <c r="AE579" s="42">
        <v>9022172.9700000007</v>
      </c>
    </row>
    <row r="580" spans="1:31" x14ac:dyDescent="0.2">
      <c r="A580" s="42" t="s">
        <v>917</v>
      </c>
      <c r="B580" s="42">
        <v>1</v>
      </c>
      <c r="C580" s="42" t="s">
        <v>403</v>
      </c>
      <c r="D580" s="42">
        <v>230</v>
      </c>
      <c r="E580" s="42" t="s">
        <v>406</v>
      </c>
      <c r="F580" s="42" t="s">
        <v>871</v>
      </c>
      <c r="G580" s="42">
        <v>11395</v>
      </c>
      <c r="H580" s="42" t="s">
        <v>872</v>
      </c>
      <c r="I580" s="42">
        <v>3411894.38</v>
      </c>
      <c r="J580" s="42">
        <v>3411894.38</v>
      </c>
      <c r="K580" s="42" t="b">
        <v>0</v>
      </c>
      <c r="L580" s="42">
        <v>4</v>
      </c>
      <c r="M580" s="42" t="s">
        <v>128</v>
      </c>
      <c r="N580" s="42">
        <v>1</v>
      </c>
      <c r="O580" s="42" t="s">
        <v>112</v>
      </c>
      <c r="P580" s="42">
        <v>16</v>
      </c>
      <c r="Q580" s="42" t="s">
        <v>335</v>
      </c>
      <c r="R580" s="42" t="s">
        <v>114</v>
      </c>
      <c r="U580" s="42" t="s">
        <v>115</v>
      </c>
      <c r="V580" s="42">
        <v>1</v>
      </c>
      <c r="W580" s="42" t="s">
        <v>116</v>
      </c>
      <c r="X580" s="42">
        <v>18</v>
      </c>
      <c r="Y580" s="42" t="s">
        <v>117</v>
      </c>
      <c r="Z580" s="42">
        <v>34211.279999999999</v>
      </c>
      <c r="AA580" s="42">
        <v>99.730099999999993</v>
      </c>
      <c r="AB580" s="42" t="s">
        <v>36</v>
      </c>
      <c r="AC580" s="42">
        <v>1</v>
      </c>
      <c r="AD580" s="42">
        <v>1</v>
      </c>
      <c r="AE580" s="42">
        <v>3411894.38</v>
      </c>
    </row>
    <row r="581" spans="1:31" x14ac:dyDescent="0.2">
      <c r="A581" s="42" t="s">
        <v>917</v>
      </c>
      <c r="B581" s="42">
        <v>1</v>
      </c>
      <c r="C581" s="42" t="s">
        <v>403</v>
      </c>
      <c r="D581" s="42">
        <v>230</v>
      </c>
      <c r="E581" s="42" t="s">
        <v>406</v>
      </c>
      <c r="F581" s="42" t="s">
        <v>873</v>
      </c>
      <c r="G581" s="42">
        <v>11653</v>
      </c>
      <c r="H581" s="42" t="s">
        <v>874</v>
      </c>
      <c r="I581" s="42">
        <v>13667233.43</v>
      </c>
      <c r="J581" s="42">
        <v>13667233.43</v>
      </c>
      <c r="K581" s="42" t="b">
        <v>0</v>
      </c>
      <c r="L581" s="42">
        <v>4</v>
      </c>
      <c r="M581" s="42" t="s">
        <v>128</v>
      </c>
      <c r="N581" s="42">
        <v>1</v>
      </c>
      <c r="O581" s="42" t="s">
        <v>112</v>
      </c>
      <c r="P581" s="42">
        <v>16</v>
      </c>
      <c r="Q581" s="42" t="s">
        <v>335</v>
      </c>
      <c r="R581" s="42" t="s">
        <v>114</v>
      </c>
      <c r="U581" s="42" t="s">
        <v>121</v>
      </c>
      <c r="V581" s="42">
        <v>1</v>
      </c>
      <c r="W581" s="42" t="s">
        <v>116</v>
      </c>
      <c r="X581" s="42">
        <v>18</v>
      </c>
      <c r="Y581" s="42" t="s">
        <v>117</v>
      </c>
      <c r="Z581" s="42">
        <v>14442812.454</v>
      </c>
      <c r="AA581" s="42">
        <v>0.94630000000000003</v>
      </c>
      <c r="AB581" s="42" t="s">
        <v>36</v>
      </c>
      <c r="AC581" s="42">
        <v>1</v>
      </c>
      <c r="AD581" s="42">
        <v>1</v>
      </c>
      <c r="AE581" s="42">
        <v>13667233.43</v>
      </c>
    </row>
    <row r="582" spans="1:31" x14ac:dyDescent="0.2">
      <c r="A582" s="42" t="s">
        <v>917</v>
      </c>
      <c r="B582" s="42">
        <v>1</v>
      </c>
      <c r="C582" s="42" t="s">
        <v>403</v>
      </c>
      <c r="D582" s="42">
        <v>230</v>
      </c>
      <c r="E582" s="42" t="s">
        <v>406</v>
      </c>
      <c r="F582" s="42" t="s">
        <v>875</v>
      </c>
      <c r="G582" s="42">
        <v>11654</v>
      </c>
      <c r="H582" s="42" t="s">
        <v>876</v>
      </c>
      <c r="I582" s="42">
        <v>13230585.08</v>
      </c>
      <c r="J582" s="42">
        <v>13230585.08</v>
      </c>
      <c r="K582" s="42" t="b">
        <v>0</v>
      </c>
      <c r="L582" s="42">
        <v>4</v>
      </c>
      <c r="M582" s="42" t="s">
        <v>128</v>
      </c>
      <c r="N582" s="42">
        <v>1</v>
      </c>
      <c r="O582" s="42" t="s">
        <v>112</v>
      </c>
      <c r="P582" s="42">
        <v>16</v>
      </c>
      <c r="Q582" s="42" t="s">
        <v>335</v>
      </c>
      <c r="R582" s="42" t="s">
        <v>114</v>
      </c>
      <c r="U582" s="42" t="s">
        <v>115</v>
      </c>
      <c r="V582" s="42">
        <v>1</v>
      </c>
      <c r="W582" s="42" t="s">
        <v>116</v>
      </c>
      <c r="X582" s="42">
        <v>18</v>
      </c>
      <c r="Y582" s="42" t="s">
        <v>117</v>
      </c>
      <c r="Z582" s="42">
        <v>143786.17000000001</v>
      </c>
      <c r="AA582" s="42">
        <v>92.015699999999995</v>
      </c>
      <c r="AB582" s="42" t="s">
        <v>36</v>
      </c>
      <c r="AC582" s="42">
        <v>1</v>
      </c>
      <c r="AD582" s="42">
        <v>1</v>
      </c>
      <c r="AE582" s="42">
        <v>13230585.08</v>
      </c>
    </row>
    <row r="583" spans="1:31" x14ac:dyDescent="0.2">
      <c r="A583" s="42" t="s">
        <v>917</v>
      </c>
      <c r="B583" s="42">
        <v>1</v>
      </c>
      <c r="C583" s="42" t="s">
        <v>403</v>
      </c>
      <c r="D583" s="42">
        <v>230</v>
      </c>
      <c r="E583" s="42" t="s">
        <v>406</v>
      </c>
      <c r="F583" s="42" t="s">
        <v>701</v>
      </c>
      <c r="G583" s="42">
        <v>11773</v>
      </c>
      <c r="H583" s="42" t="s">
        <v>702</v>
      </c>
      <c r="I583" s="42">
        <v>6061879.0999999996</v>
      </c>
      <c r="J583" s="42">
        <v>6061879.0999999996</v>
      </c>
      <c r="K583" s="42" t="b">
        <v>0</v>
      </c>
      <c r="L583" s="42">
        <v>11</v>
      </c>
      <c r="M583" s="42" t="s">
        <v>238</v>
      </c>
      <c r="N583" s="42">
        <v>1</v>
      </c>
      <c r="O583" s="42" t="s">
        <v>112</v>
      </c>
      <c r="P583" s="42">
        <v>80</v>
      </c>
      <c r="Q583" s="42" t="s">
        <v>213</v>
      </c>
      <c r="R583" s="42" t="s">
        <v>114</v>
      </c>
      <c r="U583" s="42" t="s">
        <v>121</v>
      </c>
      <c r="V583" s="42">
        <v>1</v>
      </c>
      <c r="W583" s="42" t="s">
        <v>116</v>
      </c>
      <c r="X583" s="42">
        <v>18</v>
      </c>
      <c r="Y583" s="42" t="s">
        <v>117</v>
      </c>
      <c r="Z583" s="42">
        <v>5097442.9029999999</v>
      </c>
      <c r="AA583" s="42">
        <v>1.1892</v>
      </c>
      <c r="AB583" s="42" t="s">
        <v>36</v>
      </c>
      <c r="AC583" s="42">
        <v>1</v>
      </c>
      <c r="AD583" s="42">
        <v>1</v>
      </c>
      <c r="AE583" s="42">
        <v>6061879.0999999996</v>
      </c>
    </row>
    <row r="584" spans="1:31" x14ac:dyDescent="0.2">
      <c r="A584" s="42" t="s">
        <v>917</v>
      </c>
      <c r="B584" s="42">
        <v>1</v>
      </c>
      <c r="C584" s="42" t="s">
        <v>403</v>
      </c>
      <c r="D584" s="42">
        <v>230</v>
      </c>
      <c r="E584" s="42" t="s">
        <v>406</v>
      </c>
      <c r="F584" s="42" t="s">
        <v>703</v>
      </c>
      <c r="G584" s="42">
        <v>11920</v>
      </c>
      <c r="H584" s="42" t="s">
        <v>704</v>
      </c>
      <c r="I584" s="42">
        <v>6578269.2599999998</v>
      </c>
      <c r="J584" s="42">
        <v>6578269.2599999998</v>
      </c>
      <c r="K584" s="42" t="b">
        <v>0</v>
      </c>
      <c r="L584" s="42">
        <v>5</v>
      </c>
      <c r="M584" s="42" t="s">
        <v>108</v>
      </c>
      <c r="N584" s="42">
        <v>29</v>
      </c>
      <c r="O584" s="42" t="s">
        <v>142</v>
      </c>
      <c r="P584" s="42">
        <v>3</v>
      </c>
      <c r="Q584" s="42" t="s">
        <v>325</v>
      </c>
      <c r="R584" s="42" t="s">
        <v>114</v>
      </c>
      <c r="U584" s="42" t="s">
        <v>121</v>
      </c>
      <c r="V584" s="42">
        <v>1</v>
      </c>
      <c r="W584" s="42" t="s">
        <v>116</v>
      </c>
      <c r="X584" s="42">
        <v>18</v>
      </c>
      <c r="Y584" s="42" t="s">
        <v>117</v>
      </c>
      <c r="Z584" s="42">
        <v>5705350.6200000001</v>
      </c>
      <c r="AA584" s="42">
        <v>1.153</v>
      </c>
      <c r="AB584" s="42" t="s">
        <v>36</v>
      </c>
      <c r="AC584" s="42">
        <v>1</v>
      </c>
      <c r="AD584" s="42">
        <v>1</v>
      </c>
      <c r="AE584" s="42">
        <v>6578269.2599999998</v>
      </c>
    </row>
    <row r="585" spans="1:31" x14ac:dyDescent="0.2">
      <c r="A585" s="42" t="s">
        <v>917</v>
      </c>
      <c r="B585" s="42">
        <v>1</v>
      </c>
      <c r="C585" s="42" t="s">
        <v>403</v>
      </c>
      <c r="D585" s="42">
        <v>230</v>
      </c>
      <c r="E585" s="42" t="s">
        <v>406</v>
      </c>
      <c r="F585" s="42" t="s">
        <v>705</v>
      </c>
      <c r="G585" s="42">
        <v>11962</v>
      </c>
      <c r="H585" s="42" t="s">
        <v>706</v>
      </c>
      <c r="I585" s="42">
        <v>2819356.46</v>
      </c>
      <c r="J585" s="42">
        <v>2819356.46</v>
      </c>
      <c r="K585" s="42" t="b">
        <v>0</v>
      </c>
      <c r="L585" s="42">
        <v>11</v>
      </c>
      <c r="M585" s="42" t="s">
        <v>238</v>
      </c>
      <c r="N585" s="42">
        <v>1</v>
      </c>
      <c r="O585" s="42" t="s">
        <v>112</v>
      </c>
      <c r="P585" s="42">
        <v>63</v>
      </c>
      <c r="Q585" s="42" t="s">
        <v>324</v>
      </c>
      <c r="R585" s="42" t="s">
        <v>114</v>
      </c>
      <c r="U585" s="42" t="s">
        <v>115</v>
      </c>
      <c r="V585" s="42">
        <v>1</v>
      </c>
      <c r="W585" s="42" t="s">
        <v>116</v>
      </c>
      <c r="X585" s="42">
        <v>18</v>
      </c>
      <c r="Y585" s="42" t="s">
        <v>117</v>
      </c>
      <c r="Z585" s="42">
        <v>23013.464</v>
      </c>
      <c r="AA585" s="42">
        <v>122.509</v>
      </c>
      <c r="AB585" s="42" t="s">
        <v>36</v>
      </c>
      <c r="AC585" s="42">
        <v>1</v>
      </c>
      <c r="AD585" s="42">
        <v>1</v>
      </c>
      <c r="AE585" s="42">
        <v>2819356.46</v>
      </c>
    </row>
    <row r="586" spans="1:31" x14ac:dyDescent="0.2">
      <c r="A586" s="42" t="s">
        <v>917</v>
      </c>
      <c r="B586" s="42">
        <v>1</v>
      </c>
      <c r="C586" s="42" t="s">
        <v>403</v>
      </c>
      <c r="D586" s="42">
        <v>230</v>
      </c>
      <c r="E586" s="42" t="s">
        <v>406</v>
      </c>
      <c r="F586" s="42" t="s">
        <v>707</v>
      </c>
      <c r="G586" s="42">
        <v>11963</v>
      </c>
      <c r="H586" s="42" t="s">
        <v>708</v>
      </c>
      <c r="I586" s="42">
        <v>5999189.1100000003</v>
      </c>
      <c r="J586" s="42">
        <v>5999189.1100000003</v>
      </c>
      <c r="K586" s="42" t="b">
        <v>0</v>
      </c>
      <c r="L586" s="42">
        <v>11</v>
      </c>
      <c r="M586" s="42" t="s">
        <v>238</v>
      </c>
      <c r="N586" s="42">
        <v>1</v>
      </c>
      <c r="O586" s="42" t="s">
        <v>112</v>
      </c>
      <c r="P586" s="42">
        <v>63</v>
      </c>
      <c r="Q586" s="42" t="s">
        <v>324</v>
      </c>
      <c r="R586" s="42" t="s">
        <v>114</v>
      </c>
      <c r="U586" s="42" t="s">
        <v>121</v>
      </c>
      <c r="V586" s="42">
        <v>1</v>
      </c>
      <c r="W586" s="42" t="s">
        <v>116</v>
      </c>
      <c r="X586" s="42">
        <v>18</v>
      </c>
      <c r="Y586" s="42" t="s">
        <v>117</v>
      </c>
      <c r="Z586" s="42">
        <v>4625434.9340000004</v>
      </c>
      <c r="AA586" s="42">
        <v>1.2969999999999999</v>
      </c>
      <c r="AB586" s="42" t="s">
        <v>36</v>
      </c>
      <c r="AC586" s="42">
        <v>1</v>
      </c>
      <c r="AD586" s="42">
        <v>1</v>
      </c>
      <c r="AE586" s="42">
        <v>5999189.1100000003</v>
      </c>
    </row>
    <row r="587" spans="1:31" x14ac:dyDescent="0.2">
      <c r="A587" s="42" t="s">
        <v>917</v>
      </c>
      <c r="B587" s="42">
        <v>1</v>
      </c>
      <c r="C587" s="42" t="s">
        <v>403</v>
      </c>
      <c r="D587" s="42">
        <v>230</v>
      </c>
      <c r="E587" s="42" t="s">
        <v>406</v>
      </c>
      <c r="F587" s="42" t="s">
        <v>709</v>
      </c>
      <c r="G587" s="42">
        <v>11964</v>
      </c>
      <c r="H587" s="42" t="s">
        <v>710</v>
      </c>
      <c r="I587" s="42">
        <v>2932574</v>
      </c>
      <c r="J587" s="42">
        <v>2932574</v>
      </c>
      <c r="K587" s="42" t="b">
        <v>0</v>
      </c>
      <c r="L587" s="42">
        <v>5</v>
      </c>
      <c r="M587" s="42" t="s">
        <v>108</v>
      </c>
      <c r="N587" s="42">
        <v>1</v>
      </c>
      <c r="O587" s="42" t="s">
        <v>112</v>
      </c>
      <c r="P587" s="42">
        <v>51</v>
      </c>
      <c r="Q587" s="42" t="s">
        <v>112</v>
      </c>
      <c r="R587" s="42" t="s">
        <v>114</v>
      </c>
      <c r="U587" s="42" t="s">
        <v>115</v>
      </c>
      <c r="V587" s="42">
        <v>1</v>
      </c>
      <c r="W587" s="42" t="s">
        <v>116</v>
      </c>
      <c r="X587" s="42">
        <v>18</v>
      </c>
      <c r="Y587" s="42" t="s">
        <v>117</v>
      </c>
      <c r="Z587" s="42">
        <v>340205.80099999998</v>
      </c>
      <c r="AA587" s="42">
        <v>8.6199999999999992</v>
      </c>
      <c r="AB587" s="42" t="s">
        <v>36</v>
      </c>
      <c r="AC587" s="42">
        <v>1</v>
      </c>
      <c r="AD587" s="42">
        <v>1</v>
      </c>
      <c r="AE587" s="42">
        <v>2932574</v>
      </c>
    </row>
    <row r="588" spans="1:31" x14ac:dyDescent="0.2">
      <c r="A588" s="42" t="s">
        <v>917</v>
      </c>
      <c r="B588" s="42">
        <v>1</v>
      </c>
      <c r="C588" s="42" t="s">
        <v>404</v>
      </c>
      <c r="D588" s="42">
        <v>231</v>
      </c>
      <c r="E588" s="42" t="s">
        <v>407</v>
      </c>
      <c r="F588" s="42" t="s">
        <v>636</v>
      </c>
      <c r="G588" s="42">
        <v>2504</v>
      </c>
      <c r="H588" s="42" t="s">
        <v>637</v>
      </c>
      <c r="I588" s="42">
        <v>556759.96</v>
      </c>
      <c r="J588" s="42">
        <v>556759.96</v>
      </c>
      <c r="K588" s="42" t="b">
        <v>0</v>
      </c>
      <c r="L588" s="42">
        <v>11</v>
      </c>
      <c r="M588" s="42" t="s">
        <v>238</v>
      </c>
      <c r="N588" s="42">
        <v>1</v>
      </c>
      <c r="O588" s="42" t="s">
        <v>112</v>
      </c>
      <c r="P588" s="42">
        <v>40</v>
      </c>
      <c r="Q588" s="42" t="s">
        <v>638</v>
      </c>
      <c r="R588" s="42" t="s">
        <v>114</v>
      </c>
      <c r="U588" s="42" t="s">
        <v>121</v>
      </c>
      <c r="V588" s="42">
        <v>1</v>
      </c>
      <c r="W588" s="42" t="s">
        <v>116</v>
      </c>
      <c r="X588" s="42">
        <v>18</v>
      </c>
      <c r="Y588" s="42" t="s">
        <v>117</v>
      </c>
      <c r="Z588" s="42">
        <v>143048.73000000001</v>
      </c>
      <c r="AA588" s="42">
        <v>3.8921000000000001</v>
      </c>
      <c r="AB588" s="42" t="s">
        <v>36</v>
      </c>
      <c r="AC588" s="42">
        <v>1</v>
      </c>
      <c r="AD588" s="42">
        <v>1</v>
      </c>
      <c r="AE588" s="42">
        <v>556759.96</v>
      </c>
    </row>
    <row r="589" spans="1:31" x14ac:dyDescent="0.2">
      <c r="A589" s="42" t="s">
        <v>917</v>
      </c>
      <c r="B589" s="42">
        <v>1</v>
      </c>
      <c r="C589" s="42" t="s">
        <v>404</v>
      </c>
      <c r="D589" s="42">
        <v>231</v>
      </c>
      <c r="E589" s="42" t="s">
        <v>407</v>
      </c>
      <c r="F589" s="42" t="s">
        <v>639</v>
      </c>
      <c r="G589" s="42">
        <v>2627</v>
      </c>
      <c r="H589" s="42" t="s">
        <v>640</v>
      </c>
      <c r="I589" s="42">
        <v>1325219.04</v>
      </c>
      <c r="J589" s="42">
        <v>1326415.9099999999</v>
      </c>
      <c r="K589" s="42" t="b">
        <v>0</v>
      </c>
      <c r="L589" s="42">
        <v>5</v>
      </c>
      <c r="M589" s="42" t="s">
        <v>108</v>
      </c>
      <c r="N589" s="42">
        <v>29</v>
      </c>
      <c r="O589" s="42" t="s">
        <v>142</v>
      </c>
      <c r="P589" s="42">
        <v>3</v>
      </c>
      <c r="Q589" s="42" t="s">
        <v>325</v>
      </c>
      <c r="R589" s="42" t="s">
        <v>114</v>
      </c>
      <c r="U589" s="42" t="s">
        <v>121</v>
      </c>
      <c r="V589" s="42">
        <v>1</v>
      </c>
      <c r="W589" s="42" t="s">
        <v>116</v>
      </c>
      <c r="X589" s="42">
        <v>18</v>
      </c>
      <c r="Y589" s="42" t="s">
        <v>117</v>
      </c>
      <c r="Z589" s="42">
        <v>478746.81</v>
      </c>
      <c r="AA589" s="42">
        <v>2.7706</v>
      </c>
      <c r="AB589" s="42" t="s">
        <v>36</v>
      </c>
      <c r="AC589" s="42">
        <v>1</v>
      </c>
      <c r="AD589" s="42">
        <v>1</v>
      </c>
      <c r="AE589" s="42">
        <v>1326415.9099999999</v>
      </c>
    </row>
    <row r="590" spans="1:31" x14ac:dyDescent="0.2">
      <c r="A590" s="42" t="s">
        <v>917</v>
      </c>
      <c r="B590" s="42">
        <v>1</v>
      </c>
      <c r="C590" s="42" t="s">
        <v>404</v>
      </c>
      <c r="D590" s="42">
        <v>231</v>
      </c>
      <c r="E590" s="42" t="s">
        <v>407</v>
      </c>
      <c r="F590" s="42" t="s">
        <v>840</v>
      </c>
      <c r="G590" s="42">
        <v>2680</v>
      </c>
      <c r="H590" s="42" t="s">
        <v>841</v>
      </c>
      <c r="I590" s="42">
        <v>1110618.26</v>
      </c>
      <c r="J590" s="42">
        <v>1110618.26</v>
      </c>
      <c r="K590" s="42" t="b">
        <v>0</v>
      </c>
      <c r="L590" s="42">
        <v>5</v>
      </c>
      <c r="M590" s="42" t="s">
        <v>108</v>
      </c>
      <c r="N590" s="42">
        <v>28</v>
      </c>
      <c r="O590" s="42" t="s">
        <v>120</v>
      </c>
      <c r="P590" s="42">
        <v>9</v>
      </c>
      <c r="Q590" s="42" t="s">
        <v>320</v>
      </c>
      <c r="R590" s="42" t="s">
        <v>114</v>
      </c>
      <c r="U590" s="42" t="s">
        <v>121</v>
      </c>
      <c r="V590" s="42">
        <v>1</v>
      </c>
      <c r="W590" s="42" t="s">
        <v>116</v>
      </c>
      <c r="X590" s="42">
        <v>18</v>
      </c>
      <c r="Y590" s="42" t="s">
        <v>117</v>
      </c>
      <c r="Z590" s="42">
        <v>295471.49699999997</v>
      </c>
      <c r="AA590" s="42">
        <v>3.7587999999999999</v>
      </c>
      <c r="AB590" s="42" t="s">
        <v>36</v>
      </c>
      <c r="AC590" s="42">
        <v>1</v>
      </c>
      <c r="AD590" s="42">
        <v>1</v>
      </c>
      <c r="AE590" s="42">
        <v>1110618.26</v>
      </c>
    </row>
    <row r="591" spans="1:31" x14ac:dyDescent="0.2">
      <c r="A591" s="42" t="s">
        <v>917</v>
      </c>
      <c r="B591" s="42">
        <v>1</v>
      </c>
      <c r="C591" s="42" t="s">
        <v>404</v>
      </c>
      <c r="D591" s="42">
        <v>231</v>
      </c>
      <c r="E591" s="42" t="s">
        <v>407</v>
      </c>
      <c r="F591" s="42" t="s">
        <v>132</v>
      </c>
      <c r="G591" s="42">
        <v>2856</v>
      </c>
      <c r="H591" s="42" t="s">
        <v>133</v>
      </c>
      <c r="I591" s="42">
        <v>3871844.2</v>
      </c>
      <c r="J591" s="42">
        <v>3871844.2</v>
      </c>
      <c r="K591" s="42" t="b">
        <v>0</v>
      </c>
      <c r="L591" s="42">
        <v>5</v>
      </c>
      <c r="M591" s="42" t="s">
        <v>108</v>
      </c>
      <c r="N591" s="42">
        <v>4</v>
      </c>
      <c r="O591" s="42" t="s">
        <v>109</v>
      </c>
      <c r="P591" s="42">
        <v>6</v>
      </c>
      <c r="Q591" s="42" t="s">
        <v>109</v>
      </c>
      <c r="R591" s="42" t="s">
        <v>114</v>
      </c>
      <c r="U591" s="42" t="s">
        <v>121</v>
      </c>
      <c r="V591" s="42">
        <v>1</v>
      </c>
      <c r="W591" s="42" t="s">
        <v>116</v>
      </c>
      <c r="X591" s="42">
        <v>18</v>
      </c>
      <c r="Y591" s="42" t="s">
        <v>117</v>
      </c>
      <c r="Z591" s="42">
        <v>1119644.95</v>
      </c>
      <c r="AA591" s="42">
        <v>3.4581</v>
      </c>
      <c r="AB591" s="42" t="s">
        <v>36</v>
      </c>
      <c r="AC591" s="42">
        <v>1</v>
      </c>
      <c r="AD591" s="42">
        <v>1</v>
      </c>
      <c r="AE591" s="42">
        <v>3871844.2</v>
      </c>
    </row>
    <row r="592" spans="1:31" x14ac:dyDescent="0.2">
      <c r="A592" s="42" t="s">
        <v>917</v>
      </c>
      <c r="B592" s="42">
        <v>1</v>
      </c>
      <c r="C592" s="42" t="s">
        <v>404</v>
      </c>
      <c r="D592" s="42">
        <v>231</v>
      </c>
      <c r="E592" s="42" t="s">
        <v>407</v>
      </c>
      <c r="F592" s="42" t="s">
        <v>136</v>
      </c>
      <c r="G592" s="42">
        <v>2874</v>
      </c>
      <c r="H592" s="42" t="s">
        <v>137</v>
      </c>
      <c r="I592" s="42">
        <v>614074.05000000005</v>
      </c>
      <c r="J592" s="42">
        <v>614074.05000000005</v>
      </c>
      <c r="K592" s="42" t="b">
        <v>0</v>
      </c>
      <c r="L592" s="42">
        <v>4</v>
      </c>
      <c r="M592" s="42" t="s">
        <v>128</v>
      </c>
      <c r="N592" s="42">
        <v>2</v>
      </c>
      <c r="O592" s="42" t="s">
        <v>122</v>
      </c>
      <c r="P592" s="42">
        <v>14</v>
      </c>
      <c r="Q592" s="42" t="s">
        <v>323</v>
      </c>
      <c r="R592" s="42" t="s">
        <v>114</v>
      </c>
      <c r="U592" s="42" t="s">
        <v>121</v>
      </c>
      <c r="V592" s="42">
        <v>1</v>
      </c>
      <c r="W592" s="42" t="s">
        <v>116</v>
      </c>
      <c r="X592" s="42">
        <v>18</v>
      </c>
      <c r="Y592" s="42" t="s">
        <v>117</v>
      </c>
      <c r="Z592" s="42">
        <v>294378.74</v>
      </c>
      <c r="AA592" s="42">
        <v>2.0859999999999999</v>
      </c>
      <c r="AB592" s="42" t="s">
        <v>36</v>
      </c>
      <c r="AC592" s="42">
        <v>1</v>
      </c>
      <c r="AD592" s="42">
        <v>1</v>
      </c>
      <c r="AE592" s="42">
        <v>614074.05000000005</v>
      </c>
    </row>
    <row r="593" spans="1:31" x14ac:dyDescent="0.2">
      <c r="A593" s="42" t="s">
        <v>917</v>
      </c>
      <c r="B593" s="42">
        <v>1</v>
      </c>
      <c r="C593" s="42" t="s">
        <v>404</v>
      </c>
      <c r="D593" s="42">
        <v>231</v>
      </c>
      <c r="E593" s="42" t="s">
        <v>407</v>
      </c>
      <c r="F593" s="42" t="s">
        <v>207</v>
      </c>
      <c r="G593" s="42">
        <v>2898</v>
      </c>
      <c r="H593" s="42" t="s">
        <v>208</v>
      </c>
      <c r="I593" s="42">
        <v>1725383.64</v>
      </c>
      <c r="J593" s="42">
        <v>1725383.64</v>
      </c>
      <c r="K593" s="42" t="b">
        <v>0</v>
      </c>
      <c r="L593" s="42">
        <v>14</v>
      </c>
      <c r="M593" s="42" t="s">
        <v>331</v>
      </c>
      <c r="N593" s="42">
        <v>1</v>
      </c>
      <c r="O593" s="42" t="s">
        <v>112</v>
      </c>
      <c r="P593" s="42">
        <v>22</v>
      </c>
      <c r="Q593" s="42" t="s">
        <v>209</v>
      </c>
      <c r="R593" s="42" t="s">
        <v>114</v>
      </c>
      <c r="U593" s="42" t="s">
        <v>121</v>
      </c>
      <c r="V593" s="42">
        <v>1</v>
      </c>
      <c r="W593" s="42" t="s">
        <v>116</v>
      </c>
      <c r="X593" s="42">
        <v>18</v>
      </c>
      <c r="Y593" s="42" t="s">
        <v>117</v>
      </c>
      <c r="Z593" s="42">
        <v>2442848.1359999999</v>
      </c>
      <c r="AA593" s="42">
        <v>0.70630000000000004</v>
      </c>
      <c r="AB593" s="42" t="s">
        <v>36</v>
      </c>
      <c r="AC593" s="42">
        <v>1</v>
      </c>
      <c r="AD593" s="42">
        <v>1</v>
      </c>
      <c r="AE593" s="42">
        <v>1725383.64</v>
      </c>
    </row>
    <row r="594" spans="1:31" x14ac:dyDescent="0.2">
      <c r="A594" s="42" t="s">
        <v>917</v>
      </c>
      <c r="B594" s="42">
        <v>1</v>
      </c>
      <c r="C594" s="42" t="s">
        <v>404</v>
      </c>
      <c r="D594" s="42">
        <v>231</v>
      </c>
      <c r="E594" s="42" t="s">
        <v>407</v>
      </c>
      <c r="F594" s="42" t="s">
        <v>842</v>
      </c>
      <c r="G594" s="42">
        <v>2941</v>
      </c>
      <c r="H594" s="42" t="s">
        <v>843</v>
      </c>
      <c r="I594" s="42">
        <v>1318956.99</v>
      </c>
      <c r="J594" s="42">
        <v>1318956.99</v>
      </c>
      <c r="K594" s="42" t="b">
        <v>0</v>
      </c>
      <c r="L594" s="42">
        <v>5</v>
      </c>
      <c r="M594" s="42" t="s">
        <v>108</v>
      </c>
      <c r="N594" s="42">
        <v>5</v>
      </c>
      <c r="O594" s="42" t="s">
        <v>143</v>
      </c>
      <c r="P594" s="42">
        <v>55</v>
      </c>
      <c r="Q594" s="42" t="s">
        <v>143</v>
      </c>
      <c r="R594" s="42" t="s">
        <v>114</v>
      </c>
      <c r="U594" s="42" t="s">
        <v>115</v>
      </c>
      <c r="V594" s="42">
        <v>1</v>
      </c>
      <c r="W594" s="42" t="s">
        <v>116</v>
      </c>
      <c r="X594" s="42">
        <v>18</v>
      </c>
      <c r="Y594" s="42" t="s">
        <v>117</v>
      </c>
      <c r="Z594" s="42">
        <v>647340.85380000004</v>
      </c>
      <c r="AA594" s="42">
        <v>2.0375000000000001</v>
      </c>
      <c r="AB594" s="42" t="s">
        <v>36</v>
      </c>
      <c r="AC594" s="42">
        <v>1</v>
      </c>
      <c r="AD594" s="42">
        <v>1</v>
      </c>
      <c r="AE594" s="42">
        <v>1318956.99</v>
      </c>
    </row>
    <row r="595" spans="1:31" x14ac:dyDescent="0.2">
      <c r="A595" s="42" t="s">
        <v>917</v>
      </c>
      <c r="B595" s="42">
        <v>1</v>
      </c>
      <c r="C595" s="42" t="s">
        <v>404</v>
      </c>
      <c r="D595" s="42">
        <v>231</v>
      </c>
      <c r="E595" s="42" t="s">
        <v>407</v>
      </c>
      <c r="F595" s="42" t="s">
        <v>533</v>
      </c>
      <c r="G595" s="42">
        <v>3991</v>
      </c>
      <c r="H595" s="42" t="s">
        <v>534</v>
      </c>
      <c r="I595" s="42">
        <v>1212850.82</v>
      </c>
      <c r="J595" s="42">
        <v>1212850.82</v>
      </c>
      <c r="K595" s="42" t="b">
        <v>0</v>
      </c>
      <c r="L595" s="42">
        <v>5</v>
      </c>
      <c r="M595" s="42" t="s">
        <v>108</v>
      </c>
      <c r="N595" s="42">
        <v>28</v>
      </c>
      <c r="O595" s="42" t="s">
        <v>120</v>
      </c>
      <c r="P595" s="42">
        <v>9</v>
      </c>
      <c r="Q595" s="42" t="s">
        <v>320</v>
      </c>
      <c r="R595" s="42" t="s">
        <v>114</v>
      </c>
      <c r="U595" s="42" t="s">
        <v>121</v>
      </c>
      <c r="V595" s="42">
        <v>1</v>
      </c>
      <c r="W595" s="42" t="s">
        <v>116</v>
      </c>
      <c r="X595" s="42">
        <v>18</v>
      </c>
      <c r="Y595" s="42" t="s">
        <v>117</v>
      </c>
      <c r="Z595" s="42">
        <v>533989.70499999996</v>
      </c>
      <c r="AA595" s="42">
        <v>2.2713000000000001</v>
      </c>
      <c r="AB595" s="42" t="s">
        <v>36</v>
      </c>
      <c r="AC595" s="42">
        <v>1</v>
      </c>
      <c r="AD595" s="42">
        <v>1</v>
      </c>
      <c r="AE595" s="42">
        <v>1212850.82</v>
      </c>
    </row>
    <row r="596" spans="1:31" x14ac:dyDescent="0.2">
      <c r="A596" s="42" t="s">
        <v>917</v>
      </c>
      <c r="B596" s="42">
        <v>1</v>
      </c>
      <c r="C596" s="42" t="s">
        <v>404</v>
      </c>
      <c r="D596" s="42">
        <v>231</v>
      </c>
      <c r="E596" s="42" t="s">
        <v>407</v>
      </c>
      <c r="F596" s="42" t="s">
        <v>160</v>
      </c>
      <c r="G596" s="42">
        <v>4100</v>
      </c>
      <c r="H596" s="42" t="s">
        <v>161</v>
      </c>
      <c r="I596" s="42">
        <v>1306570.99</v>
      </c>
      <c r="J596" s="42">
        <v>1306570.99</v>
      </c>
      <c r="K596" s="42" t="b">
        <v>0</v>
      </c>
      <c r="L596" s="42">
        <v>5</v>
      </c>
      <c r="M596" s="42" t="s">
        <v>108</v>
      </c>
      <c r="N596" s="42">
        <v>2</v>
      </c>
      <c r="O596" s="42" t="s">
        <v>122</v>
      </c>
      <c r="P596" s="42">
        <v>2</v>
      </c>
      <c r="Q596" s="42" t="s">
        <v>322</v>
      </c>
      <c r="R596" s="42" t="s">
        <v>114</v>
      </c>
      <c r="U596" s="42" t="s">
        <v>121</v>
      </c>
      <c r="V596" s="42">
        <v>1</v>
      </c>
      <c r="W596" s="42" t="s">
        <v>116</v>
      </c>
      <c r="X596" s="42">
        <v>18</v>
      </c>
      <c r="Y596" s="42" t="s">
        <v>117</v>
      </c>
      <c r="Z596" s="42">
        <v>507012.41499999998</v>
      </c>
      <c r="AA596" s="42">
        <v>2.577</v>
      </c>
      <c r="AB596" s="42" t="s">
        <v>36</v>
      </c>
      <c r="AC596" s="42">
        <v>1</v>
      </c>
      <c r="AD596" s="42">
        <v>1</v>
      </c>
      <c r="AE596" s="42">
        <v>1306570.99</v>
      </c>
    </row>
    <row r="597" spans="1:31" x14ac:dyDescent="0.2">
      <c r="A597" s="42" t="s">
        <v>917</v>
      </c>
      <c r="B597" s="42">
        <v>1</v>
      </c>
      <c r="C597" s="42" t="s">
        <v>404</v>
      </c>
      <c r="D597" s="42">
        <v>231</v>
      </c>
      <c r="E597" s="42" t="s">
        <v>407</v>
      </c>
      <c r="F597" s="42" t="s">
        <v>643</v>
      </c>
      <c r="G597" s="42">
        <v>4211</v>
      </c>
      <c r="H597" s="42" t="s">
        <v>644</v>
      </c>
      <c r="I597" s="42">
        <v>462744.76</v>
      </c>
      <c r="J597" s="42">
        <v>462744.76</v>
      </c>
      <c r="K597" s="42" t="b">
        <v>0</v>
      </c>
      <c r="L597" s="42">
        <v>11</v>
      </c>
      <c r="M597" s="42" t="s">
        <v>238</v>
      </c>
      <c r="N597" s="42">
        <v>1</v>
      </c>
      <c r="O597" s="42" t="s">
        <v>112</v>
      </c>
      <c r="P597" s="42">
        <v>63</v>
      </c>
      <c r="Q597" s="42" t="s">
        <v>324</v>
      </c>
      <c r="R597" s="42" t="s">
        <v>114</v>
      </c>
      <c r="U597" s="42" t="s">
        <v>121</v>
      </c>
      <c r="V597" s="42">
        <v>1</v>
      </c>
      <c r="W597" s="42" t="s">
        <v>116</v>
      </c>
      <c r="X597" s="42">
        <v>18</v>
      </c>
      <c r="Y597" s="42" t="s">
        <v>117</v>
      </c>
      <c r="Z597" s="42">
        <v>264274.56300000002</v>
      </c>
      <c r="AA597" s="42">
        <v>1.7509999999999999</v>
      </c>
      <c r="AB597" s="42" t="s">
        <v>36</v>
      </c>
      <c r="AC597" s="42">
        <v>1</v>
      </c>
      <c r="AD597" s="42">
        <v>1</v>
      </c>
      <c r="AE597" s="42">
        <v>462744.76</v>
      </c>
    </row>
    <row r="598" spans="1:31" x14ac:dyDescent="0.2">
      <c r="A598" s="42" t="s">
        <v>917</v>
      </c>
      <c r="B598" s="42">
        <v>1</v>
      </c>
      <c r="C598" s="42" t="s">
        <v>404</v>
      </c>
      <c r="D598" s="42">
        <v>231</v>
      </c>
      <c r="E598" s="42" t="s">
        <v>407</v>
      </c>
      <c r="F598" s="42" t="s">
        <v>535</v>
      </c>
      <c r="G598" s="42">
        <v>4658</v>
      </c>
      <c r="H598" s="42" t="s">
        <v>536</v>
      </c>
      <c r="I598" s="42">
        <v>1324873.81</v>
      </c>
      <c r="J598" s="42">
        <v>1324873.81</v>
      </c>
      <c r="K598" s="42" t="b">
        <v>0</v>
      </c>
      <c r="L598" s="42">
        <v>5</v>
      </c>
      <c r="M598" s="42" t="s">
        <v>108</v>
      </c>
      <c r="N598" s="42">
        <v>2</v>
      </c>
      <c r="O598" s="42" t="s">
        <v>122</v>
      </c>
      <c r="P598" s="42">
        <v>1</v>
      </c>
      <c r="Q598" s="42" t="s">
        <v>326</v>
      </c>
      <c r="R598" s="42" t="s">
        <v>114</v>
      </c>
      <c r="U598" s="42" t="s">
        <v>115</v>
      </c>
      <c r="V598" s="42">
        <v>1</v>
      </c>
      <c r="W598" s="42" t="s">
        <v>116</v>
      </c>
      <c r="X598" s="42">
        <v>18</v>
      </c>
      <c r="Y598" s="42" t="s">
        <v>117</v>
      </c>
      <c r="Z598" s="42">
        <v>104156.746</v>
      </c>
      <c r="AA598" s="42">
        <v>12.72</v>
      </c>
      <c r="AB598" s="42" t="s">
        <v>36</v>
      </c>
      <c r="AC598" s="42">
        <v>1</v>
      </c>
      <c r="AD598" s="42">
        <v>1</v>
      </c>
      <c r="AE598" s="42">
        <v>1324873.81</v>
      </c>
    </row>
    <row r="599" spans="1:31" x14ac:dyDescent="0.2">
      <c r="A599" s="42" t="s">
        <v>917</v>
      </c>
      <c r="B599" s="42">
        <v>1</v>
      </c>
      <c r="C599" s="42" t="s">
        <v>404</v>
      </c>
      <c r="D599" s="42">
        <v>231</v>
      </c>
      <c r="E599" s="42" t="s">
        <v>407</v>
      </c>
      <c r="F599" s="42" t="s">
        <v>858</v>
      </c>
      <c r="G599" s="42">
        <v>6733</v>
      </c>
      <c r="H599" s="42" t="s">
        <v>859</v>
      </c>
      <c r="I599" s="42">
        <v>179039.83</v>
      </c>
      <c r="J599" s="42">
        <v>179039.83</v>
      </c>
      <c r="K599" s="42" t="b">
        <v>0</v>
      </c>
      <c r="L599" s="42">
        <v>4</v>
      </c>
      <c r="M599" s="42" t="s">
        <v>128</v>
      </c>
      <c r="N599" s="42">
        <v>2</v>
      </c>
      <c r="O599" s="42" t="s">
        <v>122</v>
      </c>
      <c r="P599" s="42">
        <v>122</v>
      </c>
      <c r="Q599" s="42" t="s">
        <v>346</v>
      </c>
      <c r="R599" s="42" t="s">
        <v>114</v>
      </c>
      <c r="U599" s="42" t="s">
        <v>121</v>
      </c>
      <c r="V599" s="42">
        <v>1</v>
      </c>
      <c r="W599" s="42" t="s">
        <v>116</v>
      </c>
      <c r="X599" s="42">
        <v>18</v>
      </c>
      <c r="Y599" s="42" t="s">
        <v>117</v>
      </c>
      <c r="Z599" s="42">
        <v>187968.32519999999</v>
      </c>
      <c r="AA599" s="42">
        <v>0.95250000000000001</v>
      </c>
      <c r="AB599" s="42" t="s">
        <v>36</v>
      </c>
      <c r="AC599" s="42">
        <v>1</v>
      </c>
      <c r="AD599" s="42">
        <v>1</v>
      </c>
      <c r="AE599" s="42">
        <v>179039.83</v>
      </c>
    </row>
    <row r="600" spans="1:31" x14ac:dyDescent="0.2">
      <c r="A600" s="42" t="s">
        <v>917</v>
      </c>
      <c r="B600" s="42">
        <v>1</v>
      </c>
      <c r="C600" s="42" t="s">
        <v>404</v>
      </c>
      <c r="D600" s="42">
        <v>231</v>
      </c>
      <c r="E600" s="42" t="s">
        <v>407</v>
      </c>
      <c r="F600" s="42" t="s">
        <v>647</v>
      </c>
      <c r="G600" s="42">
        <v>6887</v>
      </c>
      <c r="H600" s="42" t="s">
        <v>648</v>
      </c>
      <c r="I600" s="42">
        <v>169956.78</v>
      </c>
      <c r="J600" s="42">
        <v>170364.94</v>
      </c>
      <c r="K600" s="42" t="b">
        <v>1</v>
      </c>
      <c r="L600" s="42">
        <v>3</v>
      </c>
      <c r="M600" s="42" t="s">
        <v>209</v>
      </c>
      <c r="N600" s="42">
        <v>2</v>
      </c>
      <c r="O600" s="42" t="s">
        <v>122</v>
      </c>
      <c r="P600" s="42">
        <v>180</v>
      </c>
      <c r="Q600" s="42" t="s">
        <v>214</v>
      </c>
      <c r="R600" s="42" t="s">
        <v>204</v>
      </c>
      <c r="S600" s="42">
        <v>1</v>
      </c>
      <c r="T600" s="42" t="s">
        <v>205</v>
      </c>
      <c r="U600" s="42" t="s">
        <v>121</v>
      </c>
      <c r="V600" s="42">
        <v>9</v>
      </c>
      <c r="W600" s="42" t="s">
        <v>206</v>
      </c>
      <c r="X600" s="42">
        <v>25</v>
      </c>
      <c r="Y600" s="42" t="s">
        <v>227</v>
      </c>
      <c r="Z600" s="42">
        <v>163263</v>
      </c>
      <c r="AA600" s="42">
        <v>1.0435000000000001</v>
      </c>
      <c r="AB600" s="42" t="s">
        <v>36</v>
      </c>
      <c r="AC600" s="42">
        <v>1</v>
      </c>
      <c r="AD600" s="42">
        <v>1</v>
      </c>
      <c r="AE600" s="42">
        <v>170364.94</v>
      </c>
    </row>
    <row r="601" spans="1:31" x14ac:dyDescent="0.2">
      <c r="A601" s="42" t="s">
        <v>917</v>
      </c>
      <c r="B601" s="42">
        <v>1</v>
      </c>
      <c r="C601" s="42" t="s">
        <v>404</v>
      </c>
      <c r="D601" s="42">
        <v>231</v>
      </c>
      <c r="E601" s="42" t="s">
        <v>407</v>
      </c>
      <c r="F601" s="42" t="s">
        <v>649</v>
      </c>
      <c r="G601" s="42">
        <v>6895</v>
      </c>
      <c r="H601" s="42" t="s">
        <v>650</v>
      </c>
      <c r="I601" s="42">
        <v>202117.67</v>
      </c>
      <c r="J601" s="42">
        <v>202117.67</v>
      </c>
      <c r="K601" s="42" t="b">
        <v>0</v>
      </c>
      <c r="L601" s="42">
        <v>2</v>
      </c>
      <c r="M601" s="42" t="s">
        <v>248</v>
      </c>
      <c r="N601" s="42">
        <v>1</v>
      </c>
      <c r="O601" s="42" t="s">
        <v>112</v>
      </c>
      <c r="P601" s="42">
        <v>63</v>
      </c>
      <c r="Q601" s="42" t="s">
        <v>324</v>
      </c>
      <c r="R601" s="42" t="s">
        <v>114</v>
      </c>
      <c r="U601" s="42" t="s">
        <v>115</v>
      </c>
      <c r="V601" s="42">
        <v>1</v>
      </c>
      <c r="W601" s="42" t="s">
        <v>116</v>
      </c>
      <c r="X601" s="42">
        <v>18</v>
      </c>
      <c r="Y601" s="42" t="s">
        <v>117</v>
      </c>
      <c r="Z601" s="42">
        <v>1584.9880000000001</v>
      </c>
      <c r="AA601" s="42">
        <v>127.52</v>
      </c>
      <c r="AB601" s="42" t="s">
        <v>36</v>
      </c>
      <c r="AC601" s="42">
        <v>1</v>
      </c>
      <c r="AD601" s="42">
        <v>1</v>
      </c>
      <c r="AE601" s="42">
        <v>202117.67</v>
      </c>
    </row>
    <row r="602" spans="1:31" x14ac:dyDescent="0.2">
      <c r="A602" s="42" t="s">
        <v>917</v>
      </c>
      <c r="B602" s="42">
        <v>1</v>
      </c>
      <c r="C602" s="42" t="s">
        <v>404</v>
      </c>
      <c r="D602" s="42">
        <v>231</v>
      </c>
      <c r="E602" s="42" t="s">
        <v>407</v>
      </c>
      <c r="F602" s="42" t="s">
        <v>844</v>
      </c>
      <c r="G602" s="42">
        <v>6937</v>
      </c>
      <c r="H602" s="42" t="s">
        <v>845</v>
      </c>
      <c r="I602" s="42">
        <v>2257877.36</v>
      </c>
      <c r="J602" s="42">
        <v>2266652.46</v>
      </c>
      <c r="K602" s="42" t="b">
        <v>0</v>
      </c>
      <c r="L602" s="42">
        <v>5</v>
      </c>
      <c r="M602" s="42" t="s">
        <v>108</v>
      </c>
      <c r="N602" s="42">
        <v>2</v>
      </c>
      <c r="O602" s="42" t="s">
        <v>122</v>
      </c>
      <c r="P602" s="42">
        <v>1</v>
      </c>
      <c r="Q602" s="42" t="s">
        <v>326</v>
      </c>
      <c r="R602" s="42" t="s">
        <v>114</v>
      </c>
      <c r="U602" s="42" t="s">
        <v>121</v>
      </c>
      <c r="V602" s="42">
        <v>1</v>
      </c>
      <c r="W602" s="42" t="s">
        <v>116</v>
      </c>
      <c r="X602" s="42">
        <v>18</v>
      </c>
      <c r="Y602" s="42" t="s">
        <v>117</v>
      </c>
      <c r="Z602" s="42">
        <v>1847387.794</v>
      </c>
      <c r="AA602" s="42">
        <v>1.22695</v>
      </c>
      <c r="AB602" s="42" t="s">
        <v>36</v>
      </c>
      <c r="AC602" s="42">
        <v>1</v>
      </c>
      <c r="AD602" s="42">
        <v>1</v>
      </c>
      <c r="AE602" s="42">
        <v>2266652.4500000002</v>
      </c>
    </row>
    <row r="603" spans="1:31" x14ac:dyDescent="0.2">
      <c r="A603" s="42" t="s">
        <v>917</v>
      </c>
      <c r="B603" s="42">
        <v>1</v>
      </c>
      <c r="C603" s="42" t="s">
        <v>404</v>
      </c>
      <c r="D603" s="42">
        <v>231</v>
      </c>
      <c r="E603" s="42" t="s">
        <v>407</v>
      </c>
      <c r="F603" s="42" t="s">
        <v>846</v>
      </c>
      <c r="G603" s="42">
        <v>6957</v>
      </c>
      <c r="H603" s="42" t="s">
        <v>847</v>
      </c>
      <c r="I603" s="42">
        <v>2782621.99</v>
      </c>
      <c r="J603" s="42">
        <v>2782621.99</v>
      </c>
      <c r="K603" s="42" t="b">
        <v>0</v>
      </c>
      <c r="L603" s="42">
        <v>5</v>
      </c>
      <c r="M603" s="42" t="s">
        <v>108</v>
      </c>
      <c r="N603" s="42">
        <v>2</v>
      </c>
      <c r="O603" s="42" t="s">
        <v>122</v>
      </c>
      <c r="P603" s="42">
        <v>1</v>
      </c>
      <c r="Q603" s="42" t="s">
        <v>326</v>
      </c>
      <c r="R603" s="42" t="s">
        <v>114</v>
      </c>
      <c r="U603" s="42" t="s">
        <v>121</v>
      </c>
      <c r="V603" s="42">
        <v>1</v>
      </c>
      <c r="W603" s="42" t="s">
        <v>116</v>
      </c>
      <c r="X603" s="42">
        <v>18</v>
      </c>
      <c r="Y603" s="42" t="s">
        <v>117</v>
      </c>
      <c r="Z603" s="42">
        <v>928314.26</v>
      </c>
      <c r="AA603" s="42">
        <v>2.9975000000000001</v>
      </c>
      <c r="AB603" s="42" t="s">
        <v>36</v>
      </c>
      <c r="AC603" s="42">
        <v>1</v>
      </c>
      <c r="AD603" s="42">
        <v>1</v>
      </c>
      <c r="AE603" s="42">
        <v>2782621.99</v>
      </c>
    </row>
    <row r="604" spans="1:31" x14ac:dyDescent="0.2">
      <c r="A604" s="42" t="s">
        <v>917</v>
      </c>
      <c r="B604" s="42">
        <v>1</v>
      </c>
      <c r="C604" s="42" t="s">
        <v>404</v>
      </c>
      <c r="D604" s="42">
        <v>231</v>
      </c>
      <c r="E604" s="42" t="s">
        <v>407</v>
      </c>
      <c r="F604" s="42" t="s">
        <v>263</v>
      </c>
      <c r="G604" s="42">
        <v>6959</v>
      </c>
      <c r="H604" s="42" t="s">
        <v>264</v>
      </c>
      <c r="I604" s="42">
        <v>314699.15999999997</v>
      </c>
      <c r="J604" s="42">
        <v>314699.15999999997</v>
      </c>
      <c r="K604" s="42" t="b">
        <v>0</v>
      </c>
      <c r="L604" s="42">
        <v>2</v>
      </c>
      <c r="M604" s="42" t="s">
        <v>248</v>
      </c>
      <c r="N604" s="42">
        <v>1</v>
      </c>
      <c r="O604" s="42" t="s">
        <v>112</v>
      </c>
      <c r="P604" s="42">
        <v>63</v>
      </c>
      <c r="Q604" s="42" t="s">
        <v>324</v>
      </c>
      <c r="R604" s="42" t="s">
        <v>114</v>
      </c>
      <c r="U604" s="42" t="s">
        <v>115</v>
      </c>
      <c r="V604" s="42">
        <v>1</v>
      </c>
      <c r="W604" s="42" t="s">
        <v>116</v>
      </c>
      <c r="X604" s="42">
        <v>18</v>
      </c>
      <c r="Y604" s="42" t="s">
        <v>117</v>
      </c>
      <c r="Z604" s="42">
        <v>171788.39559999999</v>
      </c>
      <c r="AA604" s="42">
        <v>1.8319000000000001</v>
      </c>
      <c r="AB604" s="42" t="s">
        <v>36</v>
      </c>
      <c r="AC604" s="42">
        <v>1</v>
      </c>
      <c r="AD604" s="42">
        <v>1</v>
      </c>
      <c r="AE604" s="42">
        <v>314699.15999999997</v>
      </c>
    </row>
    <row r="605" spans="1:31" x14ac:dyDescent="0.2">
      <c r="A605" s="42" t="s">
        <v>917</v>
      </c>
      <c r="B605" s="42">
        <v>1</v>
      </c>
      <c r="C605" s="42" t="s">
        <v>404</v>
      </c>
      <c r="D605" s="42">
        <v>231</v>
      </c>
      <c r="E605" s="42" t="s">
        <v>407</v>
      </c>
      <c r="F605" s="42" t="s">
        <v>201</v>
      </c>
      <c r="G605" s="42">
        <v>7000</v>
      </c>
      <c r="H605" s="42" t="s">
        <v>202</v>
      </c>
      <c r="I605" s="42">
        <v>3635444.74</v>
      </c>
      <c r="J605" s="42">
        <v>3635444.74</v>
      </c>
      <c r="K605" s="42" t="b">
        <v>0</v>
      </c>
      <c r="L605" s="42">
        <v>5</v>
      </c>
      <c r="M605" s="42" t="s">
        <v>108</v>
      </c>
      <c r="N605" s="42">
        <v>4</v>
      </c>
      <c r="O605" s="42" t="s">
        <v>109</v>
      </c>
      <c r="P605" s="42">
        <v>6</v>
      </c>
      <c r="Q605" s="42" t="s">
        <v>109</v>
      </c>
      <c r="R605" s="42" t="s">
        <v>114</v>
      </c>
      <c r="U605" s="42" t="s">
        <v>121</v>
      </c>
      <c r="V605" s="42">
        <v>1</v>
      </c>
      <c r="W605" s="42" t="s">
        <v>116</v>
      </c>
      <c r="X605" s="42">
        <v>18</v>
      </c>
      <c r="Y605" s="42" t="s">
        <v>117</v>
      </c>
      <c r="Z605" s="42">
        <v>394214.35</v>
      </c>
      <c r="AA605" s="42">
        <v>9.2219999999999995</v>
      </c>
      <c r="AB605" s="42" t="s">
        <v>36</v>
      </c>
      <c r="AC605" s="42">
        <v>1</v>
      </c>
      <c r="AD605" s="42">
        <v>1</v>
      </c>
      <c r="AE605" s="42">
        <v>3635444.74</v>
      </c>
    </row>
    <row r="606" spans="1:31" x14ac:dyDescent="0.2">
      <c r="A606" s="42" t="s">
        <v>917</v>
      </c>
      <c r="B606" s="42">
        <v>1</v>
      </c>
      <c r="C606" s="42" t="s">
        <v>404</v>
      </c>
      <c r="D606" s="42">
        <v>231</v>
      </c>
      <c r="E606" s="42" t="s">
        <v>407</v>
      </c>
      <c r="F606" s="42" t="s">
        <v>257</v>
      </c>
      <c r="G606" s="42">
        <v>7296</v>
      </c>
      <c r="H606" s="42" t="s">
        <v>258</v>
      </c>
      <c r="I606" s="42">
        <v>166462.56</v>
      </c>
      <c r="J606" s="42">
        <v>167158.09</v>
      </c>
      <c r="K606" s="42" t="b">
        <v>1</v>
      </c>
      <c r="L606" s="42">
        <v>5</v>
      </c>
      <c r="M606" s="42" t="s">
        <v>108</v>
      </c>
      <c r="N606" s="42">
        <v>2</v>
      </c>
      <c r="O606" s="42" t="s">
        <v>122</v>
      </c>
      <c r="P606" s="42">
        <v>22</v>
      </c>
      <c r="Q606" s="42" t="s">
        <v>209</v>
      </c>
      <c r="R606" s="42" t="s">
        <v>204</v>
      </c>
      <c r="S606" s="42">
        <v>1</v>
      </c>
      <c r="T606" s="42" t="s">
        <v>205</v>
      </c>
      <c r="U606" s="42" t="s">
        <v>229</v>
      </c>
      <c r="V606" s="42">
        <v>9</v>
      </c>
      <c r="W606" s="42" t="s">
        <v>206</v>
      </c>
      <c r="X606" s="42">
        <v>4</v>
      </c>
      <c r="Y606" s="42" t="s">
        <v>230</v>
      </c>
      <c r="Z606" s="42">
        <v>115921</v>
      </c>
      <c r="AA606" s="42">
        <v>1.4419999999999999</v>
      </c>
      <c r="AB606" s="42" t="s">
        <v>36</v>
      </c>
      <c r="AC606" s="42">
        <v>1</v>
      </c>
      <c r="AD606" s="42">
        <v>1</v>
      </c>
      <c r="AE606" s="42">
        <v>167158.07999999999</v>
      </c>
    </row>
    <row r="607" spans="1:31" x14ac:dyDescent="0.2">
      <c r="A607" s="42" t="s">
        <v>917</v>
      </c>
      <c r="B607" s="42">
        <v>1</v>
      </c>
      <c r="C607" s="42" t="s">
        <v>404</v>
      </c>
      <c r="D607" s="42">
        <v>231</v>
      </c>
      <c r="E607" s="42" t="s">
        <v>407</v>
      </c>
      <c r="F607" s="42" t="s">
        <v>255</v>
      </c>
      <c r="G607" s="42">
        <v>7297</v>
      </c>
      <c r="H607" s="42" t="s">
        <v>256</v>
      </c>
      <c r="I607" s="42">
        <v>171680.07</v>
      </c>
      <c r="J607" s="42">
        <v>171896.43</v>
      </c>
      <c r="K607" s="42" t="b">
        <v>1</v>
      </c>
      <c r="L607" s="42">
        <v>5</v>
      </c>
      <c r="M607" s="42" t="s">
        <v>108</v>
      </c>
      <c r="N607" s="42">
        <v>2</v>
      </c>
      <c r="O607" s="42" t="s">
        <v>122</v>
      </c>
      <c r="P607" s="42">
        <v>80</v>
      </c>
      <c r="Q607" s="42" t="s">
        <v>213</v>
      </c>
      <c r="R607" s="42" t="s">
        <v>204</v>
      </c>
      <c r="S607" s="42">
        <v>1</v>
      </c>
      <c r="T607" s="42" t="s">
        <v>205</v>
      </c>
      <c r="U607" s="42" t="s">
        <v>121</v>
      </c>
      <c r="V607" s="42">
        <v>9</v>
      </c>
      <c r="W607" s="42" t="s">
        <v>206</v>
      </c>
      <c r="X607" s="42">
        <v>4</v>
      </c>
      <c r="Y607" s="42" t="s">
        <v>230</v>
      </c>
      <c r="Z607" s="42">
        <v>108179</v>
      </c>
      <c r="AA607" s="42">
        <v>1.589</v>
      </c>
      <c r="AB607" s="42" t="s">
        <v>36</v>
      </c>
      <c r="AC607" s="42">
        <v>1</v>
      </c>
      <c r="AD607" s="42">
        <v>1</v>
      </c>
      <c r="AE607" s="42">
        <v>171896.43</v>
      </c>
    </row>
    <row r="608" spans="1:31" x14ac:dyDescent="0.2">
      <c r="A608" s="42" t="s">
        <v>917</v>
      </c>
      <c r="B608" s="42">
        <v>1</v>
      </c>
      <c r="C608" s="42" t="s">
        <v>404</v>
      </c>
      <c r="D608" s="42">
        <v>231</v>
      </c>
      <c r="E608" s="42" t="s">
        <v>407</v>
      </c>
      <c r="F608" s="42" t="s">
        <v>261</v>
      </c>
      <c r="G608" s="42">
        <v>7299</v>
      </c>
      <c r="H608" s="42" t="s">
        <v>262</v>
      </c>
      <c r="I608" s="42">
        <v>168331.78</v>
      </c>
      <c r="J608" s="42">
        <v>168660.55</v>
      </c>
      <c r="K608" s="42" t="b">
        <v>1</v>
      </c>
      <c r="L608" s="42">
        <v>5</v>
      </c>
      <c r="M608" s="42" t="s">
        <v>108</v>
      </c>
      <c r="N608" s="42">
        <v>2</v>
      </c>
      <c r="O608" s="42" t="s">
        <v>122</v>
      </c>
      <c r="P608" s="42">
        <v>80</v>
      </c>
      <c r="Q608" s="42" t="s">
        <v>213</v>
      </c>
      <c r="R608" s="42" t="s">
        <v>204</v>
      </c>
      <c r="S608" s="42">
        <v>1</v>
      </c>
      <c r="T608" s="42" t="s">
        <v>205</v>
      </c>
      <c r="U608" s="42" t="s">
        <v>121</v>
      </c>
      <c r="V608" s="42">
        <v>9</v>
      </c>
      <c r="W608" s="42" t="s">
        <v>206</v>
      </c>
      <c r="X608" s="42">
        <v>4</v>
      </c>
      <c r="Y608" s="42" t="s">
        <v>230</v>
      </c>
      <c r="Z608" s="42">
        <v>109591</v>
      </c>
      <c r="AA608" s="42">
        <v>1.5389999999999999</v>
      </c>
      <c r="AB608" s="42" t="s">
        <v>36</v>
      </c>
      <c r="AC608" s="42">
        <v>1</v>
      </c>
      <c r="AD608" s="42">
        <v>1</v>
      </c>
      <c r="AE608" s="42">
        <v>168660.55</v>
      </c>
    </row>
    <row r="609" spans="1:31" x14ac:dyDescent="0.2">
      <c r="A609" s="42" t="s">
        <v>917</v>
      </c>
      <c r="B609" s="42">
        <v>1</v>
      </c>
      <c r="C609" s="42" t="s">
        <v>404</v>
      </c>
      <c r="D609" s="42">
        <v>231</v>
      </c>
      <c r="E609" s="42" t="s">
        <v>407</v>
      </c>
      <c r="F609" s="42" t="s">
        <v>848</v>
      </c>
      <c r="G609" s="42">
        <v>10102</v>
      </c>
      <c r="H609" s="42" t="s">
        <v>849</v>
      </c>
      <c r="I609" s="42">
        <v>1771704.62</v>
      </c>
      <c r="J609" s="42">
        <v>1771704.62</v>
      </c>
      <c r="K609" s="42" t="b">
        <v>0</v>
      </c>
      <c r="L609" s="42">
        <v>5</v>
      </c>
      <c r="M609" s="42" t="s">
        <v>108</v>
      </c>
      <c r="N609" s="42">
        <v>4</v>
      </c>
      <c r="O609" s="42" t="s">
        <v>109</v>
      </c>
      <c r="P609" s="42">
        <v>26</v>
      </c>
      <c r="Q609" s="42" t="s">
        <v>327</v>
      </c>
      <c r="R609" s="42" t="s">
        <v>114</v>
      </c>
      <c r="U609" s="42" t="s">
        <v>121</v>
      </c>
      <c r="V609" s="42">
        <v>1</v>
      </c>
      <c r="W609" s="42" t="s">
        <v>116</v>
      </c>
      <c r="X609" s="42">
        <v>18</v>
      </c>
      <c r="Y609" s="42" t="s">
        <v>117</v>
      </c>
      <c r="Z609" s="42">
        <v>98035.891000000003</v>
      </c>
      <c r="AA609" s="42">
        <v>18.071999999999999</v>
      </c>
      <c r="AB609" s="42" t="s">
        <v>36</v>
      </c>
      <c r="AC609" s="42">
        <v>1</v>
      </c>
      <c r="AD609" s="42">
        <v>1</v>
      </c>
      <c r="AE609" s="42">
        <v>1771704.62</v>
      </c>
    </row>
    <row r="610" spans="1:31" x14ac:dyDescent="0.2">
      <c r="A610" s="42" t="s">
        <v>917</v>
      </c>
      <c r="B610" s="42">
        <v>1</v>
      </c>
      <c r="C610" s="42" t="s">
        <v>404</v>
      </c>
      <c r="D610" s="42">
        <v>231</v>
      </c>
      <c r="E610" s="42" t="s">
        <v>407</v>
      </c>
      <c r="F610" s="42" t="s">
        <v>850</v>
      </c>
      <c r="G610" s="42">
        <v>11152</v>
      </c>
      <c r="H610" s="42" t="s">
        <v>851</v>
      </c>
      <c r="I610" s="42">
        <v>2183049.6</v>
      </c>
      <c r="J610" s="42">
        <v>2183049.6</v>
      </c>
      <c r="K610" s="42" t="b">
        <v>0</v>
      </c>
      <c r="L610" s="42">
        <v>5</v>
      </c>
      <c r="M610" s="42" t="s">
        <v>108</v>
      </c>
      <c r="N610" s="42">
        <v>27</v>
      </c>
      <c r="O610" s="42" t="s">
        <v>129</v>
      </c>
      <c r="P610" s="42">
        <v>10</v>
      </c>
      <c r="Q610" s="42" t="s">
        <v>129</v>
      </c>
      <c r="R610" s="42" t="s">
        <v>114</v>
      </c>
      <c r="U610" s="42" t="s">
        <v>121</v>
      </c>
      <c r="V610" s="42">
        <v>1</v>
      </c>
      <c r="W610" s="42" t="s">
        <v>116</v>
      </c>
      <c r="X610" s="42">
        <v>18</v>
      </c>
      <c r="Y610" s="42" t="s">
        <v>117</v>
      </c>
      <c r="Z610" s="42">
        <v>1111249.48</v>
      </c>
      <c r="AA610" s="42">
        <v>1.9644999999999999</v>
      </c>
      <c r="AB610" s="42" t="s">
        <v>36</v>
      </c>
      <c r="AC610" s="42">
        <v>1</v>
      </c>
      <c r="AD610" s="42">
        <v>1</v>
      </c>
      <c r="AE610" s="42">
        <v>2183049.6</v>
      </c>
    </row>
    <row r="611" spans="1:31" x14ac:dyDescent="0.2">
      <c r="A611" s="42" t="s">
        <v>917</v>
      </c>
      <c r="B611" s="42">
        <v>1</v>
      </c>
      <c r="C611" s="42" t="s">
        <v>404</v>
      </c>
      <c r="D611" s="42">
        <v>231</v>
      </c>
      <c r="E611" s="42" t="s">
        <v>407</v>
      </c>
      <c r="F611" s="42" t="s">
        <v>852</v>
      </c>
      <c r="G611" s="42">
        <v>11153</v>
      </c>
      <c r="H611" s="42" t="s">
        <v>853</v>
      </c>
      <c r="I611" s="42">
        <v>1320809.97</v>
      </c>
      <c r="J611" s="42">
        <v>1320809.97</v>
      </c>
      <c r="K611" s="42" t="b">
        <v>0</v>
      </c>
      <c r="L611" s="42">
        <v>5</v>
      </c>
      <c r="M611" s="42" t="s">
        <v>108</v>
      </c>
      <c r="N611" s="42">
        <v>2</v>
      </c>
      <c r="O611" s="42" t="s">
        <v>122</v>
      </c>
      <c r="P611" s="42">
        <v>1</v>
      </c>
      <c r="Q611" s="42" t="s">
        <v>326</v>
      </c>
      <c r="R611" s="42" t="s">
        <v>114</v>
      </c>
      <c r="U611" s="42" t="s">
        <v>121</v>
      </c>
      <c r="V611" s="42">
        <v>1</v>
      </c>
      <c r="W611" s="42" t="s">
        <v>116</v>
      </c>
      <c r="X611" s="42">
        <v>18</v>
      </c>
      <c r="Y611" s="42" t="s">
        <v>117</v>
      </c>
      <c r="Z611" s="42">
        <v>496918.723</v>
      </c>
      <c r="AA611" s="42">
        <v>2.6579999999999999</v>
      </c>
      <c r="AB611" s="42" t="s">
        <v>36</v>
      </c>
      <c r="AC611" s="42">
        <v>1</v>
      </c>
      <c r="AD611" s="42">
        <v>1</v>
      </c>
      <c r="AE611" s="42">
        <v>1320809.97</v>
      </c>
    </row>
    <row r="612" spans="1:31" x14ac:dyDescent="0.2">
      <c r="A612" s="42" t="s">
        <v>917</v>
      </c>
      <c r="B612" s="42">
        <v>1</v>
      </c>
      <c r="C612" s="42" t="s">
        <v>404</v>
      </c>
      <c r="D612" s="42">
        <v>231</v>
      </c>
      <c r="E612" s="42" t="s">
        <v>407</v>
      </c>
      <c r="F612" s="42" t="s">
        <v>694</v>
      </c>
      <c r="G612" s="42">
        <v>11155</v>
      </c>
      <c r="H612" s="42" t="s">
        <v>695</v>
      </c>
      <c r="I612" s="42">
        <v>1614933.4</v>
      </c>
      <c r="J612" s="42">
        <v>1614933.4</v>
      </c>
      <c r="K612" s="42" t="b">
        <v>0</v>
      </c>
      <c r="L612" s="42">
        <v>5</v>
      </c>
      <c r="M612" s="42" t="s">
        <v>108</v>
      </c>
      <c r="N612" s="42">
        <v>5</v>
      </c>
      <c r="O612" s="42" t="s">
        <v>143</v>
      </c>
      <c r="P612" s="42">
        <v>55</v>
      </c>
      <c r="Q612" s="42" t="s">
        <v>143</v>
      </c>
      <c r="R612" s="42" t="s">
        <v>114</v>
      </c>
      <c r="U612" s="42" t="s">
        <v>115</v>
      </c>
      <c r="V612" s="42">
        <v>1</v>
      </c>
      <c r="W612" s="42" t="s">
        <v>116</v>
      </c>
      <c r="X612" s="42">
        <v>18</v>
      </c>
      <c r="Y612" s="42" t="s">
        <v>117</v>
      </c>
      <c r="Z612" s="42">
        <v>11285.12</v>
      </c>
      <c r="AA612" s="42">
        <v>143.10290000000001</v>
      </c>
      <c r="AB612" s="42" t="s">
        <v>36</v>
      </c>
      <c r="AC612" s="42">
        <v>1</v>
      </c>
      <c r="AD612" s="42">
        <v>1</v>
      </c>
      <c r="AE612" s="42">
        <v>1614933.4</v>
      </c>
    </row>
    <row r="613" spans="1:31" x14ac:dyDescent="0.2">
      <c r="A613" s="42" t="s">
        <v>917</v>
      </c>
      <c r="B613" s="42">
        <v>1</v>
      </c>
      <c r="C613" s="42" t="s">
        <v>404</v>
      </c>
      <c r="D613" s="42">
        <v>231</v>
      </c>
      <c r="E613" s="42" t="s">
        <v>407</v>
      </c>
      <c r="F613" s="42" t="s">
        <v>854</v>
      </c>
      <c r="G613" s="42">
        <v>11156</v>
      </c>
      <c r="H613" s="42" t="s">
        <v>855</v>
      </c>
      <c r="I613" s="42">
        <v>2766666.09</v>
      </c>
      <c r="J613" s="42">
        <v>2766666.09</v>
      </c>
      <c r="K613" s="42" t="b">
        <v>0</v>
      </c>
      <c r="L613" s="42">
        <v>5</v>
      </c>
      <c r="M613" s="42" t="s">
        <v>108</v>
      </c>
      <c r="N613" s="42">
        <v>4</v>
      </c>
      <c r="O613" s="42" t="s">
        <v>109</v>
      </c>
      <c r="P613" s="42">
        <v>6</v>
      </c>
      <c r="Q613" s="42" t="s">
        <v>109</v>
      </c>
      <c r="R613" s="42" t="s">
        <v>114</v>
      </c>
      <c r="U613" s="42" t="s">
        <v>121</v>
      </c>
      <c r="V613" s="42">
        <v>1</v>
      </c>
      <c r="W613" s="42" t="s">
        <v>116</v>
      </c>
      <c r="X613" s="42">
        <v>18</v>
      </c>
      <c r="Y613" s="42" t="s">
        <v>117</v>
      </c>
      <c r="Z613" s="42">
        <v>9365.4429</v>
      </c>
      <c r="AA613" s="42">
        <v>295.41219999999998</v>
      </c>
      <c r="AB613" s="42" t="s">
        <v>36</v>
      </c>
      <c r="AC613" s="42">
        <v>1</v>
      </c>
      <c r="AD613" s="42">
        <v>1</v>
      </c>
      <c r="AE613" s="42">
        <v>2766666.09</v>
      </c>
    </row>
    <row r="614" spans="1:31" x14ac:dyDescent="0.2">
      <c r="A614" s="42" t="s">
        <v>917</v>
      </c>
      <c r="B614" s="42">
        <v>1</v>
      </c>
      <c r="C614" s="42" t="s">
        <v>404</v>
      </c>
      <c r="D614" s="42">
        <v>231</v>
      </c>
      <c r="E614" s="42" t="s">
        <v>407</v>
      </c>
      <c r="F614" s="42" t="s">
        <v>856</v>
      </c>
      <c r="G614" s="42">
        <v>11157</v>
      </c>
      <c r="H614" s="42" t="s">
        <v>857</v>
      </c>
      <c r="I614" s="42">
        <v>635256.34</v>
      </c>
      <c r="J614" s="42">
        <v>635256.34</v>
      </c>
      <c r="K614" s="42" t="b">
        <v>0</v>
      </c>
      <c r="L614" s="42">
        <v>5</v>
      </c>
      <c r="M614" s="42" t="s">
        <v>108</v>
      </c>
      <c r="N614" s="42">
        <v>2</v>
      </c>
      <c r="O614" s="42" t="s">
        <v>122</v>
      </c>
      <c r="P614" s="42">
        <v>2</v>
      </c>
      <c r="Q614" s="42" t="s">
        <v>322</v>
      </c>
      <c r="R614" s="42" t="s">
        <v>114</v>
      </c>
      <c r="U614" s="42" t="s">
        <v>121</v>
      </c>
      <c r="V614" s="42">
        <v>1</v>
      </c>
      <c r="W614" s="42" t="s">
        <v>116</v>
      </c>
      <c r="X614" s="42">
        <v>18</v>
      </c>
      <c r="Y614" s="42" t="s">
        <v>117</v>
      </c>
      <c r="Z614" s="42">
        <v>366988.065</v>
      </c>
      <c r="AA614" s="42">
        <v>1.7310000000000001</v>
      </c>
      <c r="AB614" s="42" t="s">
        <v>36</v>
      </c>
      <c r="AC614" s="42">
        <v>1</v>
      </c>
      <c r="AD614" s="42">
        <v>1</v>
      </c>
      <c r="AE614" s="42">
        <v>635256.34</v>
      </c>
    </row>
    <row r="615" spans="1:31" x14ac:dyDescent="0.2">
      <c r="A615" s="42" t="s">
        <v>917</v>
      </c>
      <c r="B615" s="42">
        <v>1</v>
      </c>
      <c r="C615" s="42" t="s">
        <v>404</v>
      </c>
      <c r="D615" s="42">
        <v>231</v>
      </c>
      <c r="E615" s="42" t="s">
        <v>407</v>
      </c>
      <c r="F615" s="42" t="s">
        <v>387</v>
      </c>
      <c r="G615" s="42">
        <v>11158</v>
      </c>
      <c r="H615" s="42" t="s">
        <v>388</v>
      </c>
      <c r="I615" s="42">
        <v>612128.91</v>
      </c>
      <c r="J615" s="42">
        <v>612128.91</v>
      </c>
      <c r="K615" s="42" t="b">
        <v>0</v>
      </c>
      <c r="L615" s="42">
        <v>4</v>
      </c>
      <c r="M615" s="42" t="s">
        <v>128</v>
      </c>
      <c r="N615" s="42">
        <v>2</v>
      </c>
      <c r="O615" s="42" t="s">
        <v>122</v>
      </c>
      <c r="P615" s="42">
        <v>14</v>
      </c>
      <c r="Q615" s="42" t="s">
        <v>323</v>
      </c>
      <c r="R615" s="42" t="s">
        <v>114</v>
      </c>
      <c r="U615" s="42" t="s">
        <v>121</v>
      </c>
      <c r="V615" s="42">
        <v>1</v>
      </c>
      <c r="W615" s="42" t="s">
        <v>116</v>
      </c>
      <c r="X615" s="42">
        <v>18</v>
      </c>
      <c r="Y615" s="42" t="s">
        <v>117</v>
      </c>
      <c r="Z615" s="42">
        <v>618999.804</v>
      </c>
      <c r="AA615" s="42">
        <v>0.9889</v>
      </c>
      <c r="AB615" s="42" t="s">
        <v>36</v>
      </c>
      <c r="AC615" s="42">
        <v>1</v>
      </c>
      <c r="AD615" s="42">
        <v>1</v>
      </c>
      <c r="AE615" s="42">
        <v>612128.91</v>
      </c>
    </row>
    <row r="616" spans="1:31" x14ac:dyDescent="0.2">
      <c r="A616" s="42" t="s">
        <v>917</v>
      </c>
      <c r="B616" s="42">
        <v>1</v>
      </c>
      <c r="C616" s="42" t="s">
        <v>404</v>
      </c>
      <c r="D616" s="42">
        <v>231</v>
      </c>
      <c r="E616" s="42" t="s">
        <v>407</v>
      </c>
      <c r="F616" s="42" t="s">
        <v>860</v>
      </c>
      <c r="G616" s="42">
        <v>11159</v>
      </c>
      <c r="H616" s="42" t="s">
        <v>861</v>
      </c>
      <c r="I616" s="42">
        <v>676939.32</v>
      </c>
      <c r="J616" s="42">
        <v>676939.32</v>
      </c>
      <c r="K616" s="42" t="b">
        <v>0</v>
      </c>
      <c r="L616" s="42">
        <v>4</v>
      </c>
      <c r="M616" s="42" t="s">
        <v>128</v>
      </c>
      <c r="N616" s="42">
        <v>2</v>
      </c>
      <c r="O616" s="42" t="s">
        <v>122</v>
      </c>
      <c r="P616" s="42">
        <v>14</v>
      </c>
      <c r="Q616" s="42" t="s">
        <v>323</v>
      </c>
      <c r="R616" s="42" t="s">
        <v>114</v>
      </c>
      <c r="U616" s="42" t="s">
        <v>115</v>
      </c>
      <c r="V616" s="42">
        <v>1</v>
      </c>
      <c r="W616" s="42" t="s">
        <v>116</v>
      </c>
      <c r="X616" s="42">
        <v>18</v>
      </c>
      <c r="Y616" s="42" t="s">
        <v>117</v>
      </c>
      <c r="Z616" s="42">
        <v>47504.514000000003</v>
      </c>
      <c r="AA616" s="42">
        <v>14.25</v>
      </c>
      <c r="AB616" s="42" t="s">
        <v>36</v>
      </c>
      <c r="AC616" s="42">
        <v>1</v>
      </c>
      <c r="AD616" s="42">
        <v>1</v>
      </c>
      <c r="AE616" s="42">
        <v>676939.32</v>
      </c>
    </row>
    <row r="617" spans="1:31" x14ac:dyDescent="0.2">
      <c r="A617" s="42" t="s">
        <v>917</v>
      </c>
      <c r="B617" s="42">
        <v>1</v>
      </c>
      <c r="C617" s="42" t="s">
        <v>404</v>
      </c>
      <c r="D617" s="42">
        <v>231</v>
      </c>
      <c r="E617" s="42" t="s">
        <v>407</v>
      </c>
      <c r="F617" s="42" t="s">
        <v>862</v>
      </c>
      <c r="G617" s="42">
        <v>11161</v>
      </c>
      <c r="H617" s="42" t="s">
        <v>863</v>
      </c>
      <c r="I617" s="42">
        <v>949168.49</v>
      </c>
      <c r="J617" s="42">
        <v>949168.49</v>
      </c>
      <c r="K617" s="42" t="b">
        <v>0</v>
      </c>
      <c r="L617" s="42">
        <v>4</v>
      </c>
      <c r="M617" s="42" t="s">
        <v>128</v>
      </c>
      <c r="N617" s="42">
        <v>1</v>
      </c>
      <c r="O617" s="42" t="s">
        <v>112</v>
      </c>
      <c r="P617" s="42">
        <v>38</v>
      </c>
      <c r="Q617" s="42" t="s">
        <v>378</v>
      </c>
      <c r="R617" s="42" t="s">
        <v>114</v>
      </c>
      <c r="U617" s="42" t="s">
        <v>115</v>
      </c>
      <c r="V617" s="42">
        <v>1</v>
      </c>
      <c r="W617" s="42" t="s">
        <v>116</v>
      </c>
      <c r="X617" s="42">
        <v>18</v>
      </c>
      <c r="Y617" s="42" t="s">
        <v>117</v>
      </c>
      <c r="Z617" s="42">
        <v>8858.15</v>
      </c>
      <c r="AA617" s="42">
        <v>107.152</v>
      </c>
      <c r="AB617" s="42" t="s">
        <v>36</v>
      </c>
      <c r="AC617" s="42">
        <v>1</v>
      </c>
      <c r="AD617" s="42">
        <v>1</v>
      </c>
      <c r="AE617" s="42">
        <v>949168.49</v>
      </c>
    </row>
    <row r="618" spans="1:31" x14ac:dyDescent="0.2">
      <c r="A618" s="42" t="s">
        <v>917</v>
      </c>
      <c r="B618" s="42">
        <v>1</v>
      </c>
      <c r="C618" s="42" t="s">
        <v>404</v>
      </c>
      <c r="D618" s="42">
        <v>231</v>
      </c>
      <c r="E618" s="42" t="s">
        <v>407</v>
      </c>
      <c r="F618" s="42" t="s">
        <v>864</v>
      </c>
      <c r="G618" s="42">
        <v>11163</v>
      </c>
      <c r="H618" s="42" t="s">
        <v>865</v>
      </c>
      <c r="I618" s="42">
        <v>643984.18999999994</v>
      </c>
      <c r="J618" s="42">
        <v>643984.18999999994</v>
      </c>
      <c r="K618" s="42" t="b">
        <v>0</v>
      </c>
      <c r="L618" s="42">
        <v>4</v>
      </c>
      <c r="M618" s="42" t="s">
        <v>128</v>
      </c>
      <c r="N618" s="42">
        <v>2</v>
      </c>
      <c r="O618" s="42" t="s">
        <v>122</v>
      </c>
      <c r="P618" s="42">
        <v>275</v>
      </c>
      <c r="Q618" s="42" t="s">
        <v>866</v>
      </c>
      <c r="R618" s="42" t="s">
        <v>114</v>
      </c>
      <c r="U618" s="42" t="s">
        <v>115</v>
      </c>
      <c r="V618" s="42">
        <v>1</v>
      </c>
      <c r="W618" s="42" t="s">
        <v>116</v>
      </c>
      <c r="X618" s="42">
        <v>18</v>
      </c>
      <c r="Y618" s="42" t="s">
        <v>117</v>
      </c>
      <c r="Z618" s="42">
        <v>6543.79</v>
      </c>
      <c r="AA618" s="42">
        <v>98.411500000000004</v>
      </c>
      <c r="AB618" s="42" t="s">
        <v>36</v>
      </c>
      <c r="AC618" s="42">
        <v>1</v>
      </c>
      <c r="AD618" s="42">
        <v>1</v>
      </c>
      <c r="AE618" s="42">
        <v>643984.18999999994</v>
      </c>
    </row>
    <row r="619" spans="1:31" x14ac:dyDescent="0.2">
      <c r="A619" s="42" t="s">
        <v>917</v>
      </c>
      <c r="B619" s="42">
        <v>1</v>
      </c>
      <c r="C619" s="42" t="s">
        <v>404</v>
      </c>
      <c r="D619" s="42">
        <v>231</v>
      </c>
      <c r="E619" s="42" t="s">
        <v>407</v>
      </c>
      <c r="F619" s="42" t="s">
        <v>867</v>
      </c>
      <c r="G619" s="42">
        <v>11283</v>
      </c>
      <c r="H619" s="42" t="s">
        <v>868</v>
      </c>
      <c r="I619" s="42">
        <v>227675.01</v>
      </c>
      <c r="J619" s="42">
        <v>227675.01</v>
      </c>
      <c r="K619" s="42" t="b">
        <v>0</v>
      </c>
      <c r="L619" s="42">
        <v>4</v>
      </c>
      <c r="M619" s="42" t="s">
        <v>128</v>
      </c>
      <c r="N619" s="42">
        <v>2</v>
      </c>
      <c r="O619" s="42" t="s">
        <v>122</v>
      </c>
      <c r="P619" s="42">
        <v>14</v>
      </c>
      <c r="Q619" s="42" t="s">
        <v>323</v>
      </c>
      <c r="R619" s="42" t="s">
        <v>114</v>
      </c>
      <c r="U619" s="42" t="s">
        <v>121</v>
      </c>
      <c r="V619" s="42">
        <v>1</v>
      </c>
      <c r="W619" s="42" t="s">
        <v>116</v>
      </c>
      <c r="X619" s="42">
        <v>18</v>
      </c>
      <c r="Y619" s="42" t="s">
        <v>117</v>
      </c>
      <c r="Z619" s="42">
        <v>237186.18</v>
      </c>
      <c r="AA619" s="42">
        <v>0.95989999999999998</v>
      </c>
      <c r="AB619" s="42" t="s">
        <v>36</v>
      </c>
      <c r="AC619" s="42">
        <v>1</v>
      </c>
      <c r="AD619" s="42">
        <v>1</v>
      </c>
      <c r="AE619" s="42">
        <v>227675.01</v>
      </c>
    </row>
    <row r="620" spans="1:31" x14ac:dyDescent="0.2">
      <c r="A620" s="42" t="s">
        <v>917</v>
      </c>
      <c r="B620" s="42">
        <v>1</v>
      </c>
      <c r="C620" s="42" t="s">
        <v>404</v>
      </c>
      <c r="D620" s="42">
        <v>231</v>
      </c>
      <c r="E620" s="42" t="s">
        <v>407</v>
      </c>
      <c r="F620" s="42" t="s">
        <v>869</v>
      </c>
      <c r="G620" s="42">
        <v>11297</v>
      </c>
      <c r="H620" s="42" t="s">
        <v>870</v>
      </c>
      <c r="I620" s="42">
        <v>483196.36</v>
      </c>
      <c r="J620" s="42">
        <v>483196.36</v>
      </c>
      <c r="K620" s="42" t="b">
        <v>0</v>
      </c>
      <c r="L620" s="42">
        <v>4</v>
      </c>
      <c r="M620" s="42" t="s">
        <v>128</v>
      </c>
      <c r="N620" s="42">
        <v>2</v>
      </c>
      <c r="O620" s="42" t="s">
        <v>122</v>
      </c>
      <c r="P620" s="42">
        <v>14</v>
      </c>
      <c r="Q620" s="42" t="s">
        <v>323</v>
      </c>
      <c r="R620" s="42" t="s">
        <v>114</v>
      </c>
      <c r="U620" s="42" t="s">
        <v>121</v>
      </c>
      <c r="V620" s="42">
        <v>1</v>
      </c>
      <c r="W620" s="42" t="s">
        <v>116</v>
      </c>
      <c r="X620" s="42">
        <v>18</v>
      </c>
      <c r="Y620" s="42" t="s">
        <v>117</v>
      </c>
      <c r="Z620" s="42">
        <v>578608.98</v>
      </c>
      <c r="AA620" s="42">
        <v>0.83509999999999995</v>
      </c>
      <c r="AB620" s="42" t="s">
        <v>36</v>
      </c>
      <c r="AC620" s="42">
        <v>1</v>
      </c>
      <c r="AD620" s="42">
        <v>1</v>
      </c>
      <c r="AE620" s="42">
        <v>483196.36</v>
      </c>
    </row>
    <row r="621" spans="1:31" x14ac:dyDescent="0.2">
      <c r="A621" s="42" t="s">
        <v>917</v>
      </c>
      <c r="B621" s="42">
        <v>1</v>
      </c>
      <c r="C621" s="42" t="s">
        <v>404</v>
      </c>
      <c r="D621" s="42">
        <v>231</v>
      </c>
      <c r="E621" s="42" t="s">
        <v>407</v>
      </c>
      <c r="F621" s="42" t="s">
        <v>871</v>
      </c>
      <c r="G621" s="42">
        <v>11395</v>
      </c>
      <c r="H621" s="42" t="s">
        <v>872</v>
      </c>
      <c r="I621" s="42">
        <v>175085.17</v>
      </c>
      <c r="J621" s="42">
        <v>175085.17</v>
      </c>
      <c r="K621" s="42" t="b">
        <v>0</v>
      </c>
      <c r="L621" s="42">
        <v>4</v>
      </c>
      <c r="M621" s="42" t="s">
        <v>128</v>
      </c>
      <c r="N621" s="42">
        <v>1</v>
      </c>
      <c r="O621" s="42" t="s">
        <v>112</v>
      </c>
      <c r="P621" s="42">
        <v>16</v>
      </c>
      <c r="Q621" s="42" t="s">
        <v>335</v>
      </c>
      <c r="R621" s="42" t="s">
        <v>114</v>
      </c>
      <c r="U621" s="42" t="s">
        <v>115</v>
      </c>
      <c r="V621" s="42">
        <v>1</v>
      </c>
      <c r="W621" s="42" t="s">
        <v>116</v>
      </c>
      <c r="X621" s="42">
        <v>18</v>
      </c>
      <c r="Y621" s="42" t="s">
        <v>117</v>
      </c>
      <c r="Z621" s="42">
        <v>1755.59</v>
      </c>
      <c r="AA621" s="42">
        <v>99.730099999999993</v>
      </c>
      <c r="AB621" s="42" t="s">
        <v>36</v>
      </c>
      <c r="AC621" s="42">
        <v>1</v>
      </c>
      <c r="AD621" s="42">
        <v>1</v>
      </c>
      <c r="AE621" s="42">
        <v>175085.17</v>
      </c>
    </row>
    <row r="622" spans="1:31" x14ac:dyDescent="0.2">
      <c r="A622" s="42" t="s">
        <v>917</v>
      </c>
      <c r="B622" s="42">
        <v>1</v>
      </c>
      <c r="C622" s="42" t="s">
        <v>404</v>
      </c>
      <c r="D622" s="42">
        <v>231</v>
      </c>
      <c r="E622" s="42" t="s">
        <v>407</v>
      </c>
      <c r="F622" s="42" t="s">
        <v>873</v>
      </c>
      <c r="G622" s="42">
        <v>11653</v>
      </c>
      <c r="H622" s="42" t="s">
        <v>874</v>
      </c>
      <c r="I622" s="42">
        <v>706143.5</v>
      </c>
      <c r="J622" s="42">
        <v>706143.5</v>
      </c>
      <c r="K622" s="42" t="b">
        <v>0</v>
      </c>
      <c r="L622" s="42">
        <v>4</v>
      </c>
      <c r="M622" s="42" t="s">
        <v>128</v>
      </c>
      <c r="N622" s="42">
        <v>1</v>
      </c>
      <c r="O622" s="42" t="s">
        <v>112</v>
      </c>
      <c r="P622" s="42">
        <v>16</v>
      </c>
      <c r="Q622" s="42" t="s">
        <v>335</v>
      </c>
      <c r="R622" s="42" t="s">
        <v>114</v>
      </c>
      <c r="U622" s="42" t="s">
        <v>121</v>
      </c>
      <c r="V622" s="42">
        <v>1</v>
      </c>
      <c r="W622" s="42" t="s">
        <v>116</v>
      </c>
      <c r="X622" s="42">
        <v>18</v>
      </c>
      <c r="Y622" s="42" t="s">
        <v>117</v>
      </c>
      <c r="Z622" s="42">
        <v>746215.25600000005</v>
      </c>
      <c r="AA622" s="42">
        <v>0.94630000000000003</v>
      </c>
      <c r="AB622" s="42" t="s">
        <v>36</v>
      </c>
      <c r="AC622" s="42">
        <v>1</v>
      </c>
      <c r="AD622" s="42">
        <v>1</v>
      </c>
      <c r="AE622" s="42">
        <v>706143.5</v>
      </c>
    </row>
    <row r="623" spans="1:31" x14ac:dyDescent="0.2">
      <c r="A623" s="42" t="s">
        <v>917</v>
      </c>
      <c r="B623" s="42">
        <v>1</v>
      </c>
      <c r="C623" s="42" t="s">
        <v>404</v>
      </c>
      <c r="D623" s="42">
        <v>231</v>
      </c>
      <c r="E623" s="42" t="s">
        <v>407</v>
      </c>
      <c r="F623" s="42" t="s">
        <v>875</v>
      </c>
      <c r="G623" s="42">
        <v>11654</v>
      </c>
      <c r="H623" s="42" t="s">
        <v>876</v>
      </c>
      <c r="I623" s="42">
        <v>680552.72</v>
      </c>
      <c r="J623" s="42">
        <v>680552.72</v>
      </c>
      <c r="K623" s="42" t="b">
        <v>0</v>
      </c>
      <c r="L623" s="42">
        <v>4</v>
      </c>
      <c r="M623" s="42" t="s">
        <v>128</v>
      </c>
      <c r="N623" s="42">
        <v>1</v>
      </c>
      <c r="O623" s="42" t="s">
        <v>112</v>
      </c>
      <c r="P623" s="42">
        <v>16</v>
      </c>
      <c r="Q623" s="42" t="s">
        <v>335</v>
      </c>
      <c r="R623" s="42" t="s">
        <v>114</v>
      </c>
      <c r="U623" s="42" t="s">
        <v>115</v>
      </c>
      <c r="V623" s="42">
        <v>1</v>
      </c>
      <c r="W623" s="42" t="s">
        <v>116</v>
      </c>
      <c r="X623" s="42">
        <v>18</v>
      </c>
      <c r="Y623" s="42" t="s">
        <v>117</v>
      </c>
      <c r="Z623" s="42">
        <v>7396.05</v>
      </c>
      <c r="AA623" s="42">
        <v>92.015699999999995</v>
      </c>
      <c r="AB623" s="42" t="s">
        <v>36</v>
      </c>
      <c r="AC623" s="42">
        <v>1</v>
      </c>
      <c r="AD623" s="42">
        <v>1</v>
      </c>
      <c r="AE623" s="42">
        <v>680552.72</v>
      </c>
    </row>
    <row r="624" spans="1:31" x14ac:dyDescent="0.2">
      <c r="A624" s="42" t="s">
        <v>917</v>
      </c>
      <c r="B624" s="42">
        <v>1</v>
      </c>
      <c r="C624" s="42" t="s">
        <v>404</v>
      </c>
      <c r="D624" s="42">
        <v>231</v>
      </c>
      <c r="E624" s="42" t="s">
        <v>407</v>
      </c>
      <c r="F624" s="42" t="s">
        <v>701</v>
      </c>
      <c r="G624" s="42">
        <v>11773</v>
      </c>
      <c r="H624" s="42" t="s">
        <v>702</v>
      </c>
      <c r="I624" s="42">
        <v>556709.41</v>
      </c>
      <c r="J624" s="42">
        <v>556709.41</v>
      </c>
      <c r="K624" s="42" t="b">
        <v>0</v>
      </c>
      <c r="L624" s="42">
        <v>11</v>
      </c>
      <c r="M624" s="42" t="s">
        <v>238</v>
      </c>
      <c r="N624" s="42">
        <v>1</v>
      </c>
      <c r="O624" s="42" t="s">
        <v>112</v>
      </c>
      <c r="P624" s="42">
        <v>80</v>
      </c>
      <c r="Q624" s="42" t="s">
        <v>213</v>
      </c>
      <c r="R624" s="42" t="s">
        <v>114</v>
      </c>
      <c r="U624" s="42" t="s">
        <v>121</v>
      </c>
      <c r="V624" s="42">
        <v>1</v>
      </c>
      <c r="W624" s="42" t="s">
        <v>116</v>
      </c>
      <c r="X624" s="42">
        <v>18</v>
      </c>
      <c r="Y624" s="42" t="s">
        <v>117</v>
      </c>
      <c r="Z624" s="42">
        <v>468137.745</v>
      </c>
      <c r="AA624" s="42">
        <v>1.1892</v>
      </c>
      <c r="AB624" s="42" t="s">
        <v>36</v>
      </c>
      <c r="AC624" s="42">
        <v>1</v>
      </c>
      <c r="AD624" s="42">
        <v>1</v>
      </c>
      <c r="AE624" s="42">
        <v>556709.41</v>
      </c>
    </row>
    <row r="625" spans="1:31" x14ac:dyDescent="0.2">
      <c r="A625" s="42" t="s">
        <v>917</v>
      </c>
      <c r="B625" s="42">
        <v>1</v>
      </c>
      <c r="C625" s="42" t="s">
        <v>404</v>
      </c>
      <c r="D625" s="42">
        <v>231</v>
      </c>
      <c r="E625" s="42" t="s">
        <v>407</v>
      </c>
      <c r="F625" s="42" t="s">
        <v>703</v>
      </c>
      <c r="G625" s="42">
        <v>11920</v>
      </c>
      <c r="H625" s="42" t="s">
        <v>704</v>
      </c>
      <c r="I625" s="42">
        <v>1104341.8700000001</v>
      </c>
      <c r="J625" s="42">
        <v>1104341.8700000001</v>
      </c>
      <c r="K625" s="42" t="b">
        <v>0</v>
      </c>
      <c r="L625" s="42">
        <v>5</v>
      </c>
      <c r="M625" s="42" t="s">
        <v>108</v>
      </c>
      <c r="N625" s="42">
        <v>29</v>
      </c>
      <c r="O625" s="42" t="s">
        <v>142</v>
      </c>
      <c r="P625" s="42">
        <v>3</v>
      </c>
      <c r="Q625" s="42" t="s">
        <v>325</v>
      </c>
      <c r="R625" s="42" t="s">
        <v>114</v>
      </c>
      <c r="U625" s="42" t="s">
        <v>121</v>
      </c>
      <c r="V625" s="42">
        <v>1</v>
      </c>
      <c r="W625" s="42" t="s">
        <v>116</v>
      </c>
      <c r="X625" s="42">
        <v>18</v>
      </c>
      <c r="Y625" s="42" t="s">
        <v>117</v>
      </c>
      <c r="Z625" s="42">
        <v>957798.67</v>
      </c>
      <c r="AA625" s="42">
        <v>1.153</v>
      </c>
      <c r="AB625" s="42" t="s">
        <v>36</v>
      </c>
      <c r="AC625" s="42">
        <v>1</v>
      </c>
      <c r="AD625" s="42">
        <v>1</v>
      </c>
      <c r="AE625" s="42">
        <v>1104341.8700000001</v>
      </c>
    </row>
    <row r="626" spans="1:31" x14ac:dyDescent="0.2">
      <c r="A626" s="42" t="s">
        <v>917</v>
      </c>
      <c r="B626" s="42">
        <v>1</v>
      </c>
      <c r="C626" s="42" t="s">
        <v>404</v>
      </c>
      <c r="D626" s="42">
        <v>231</v>
      </c>
      <c r="E626" s="42" t="s">
        <v>407</v>
      </c>
      <c r="F626" s="42" t="s">
        <v>705</v>
      </c>
      <c r="G626" s="42">
        <v>11962</v>
      </c>
      <c r="H626" s="42" t="s">
        <v>706</v>
      </c>
      <c r="I626" s="42">
        <v>248445.92</v>
      </c>
      <c r="J626" s="42">
        <v>248445.92</v>
      </c>
      <c r="K626" s="42" t="b">
        <v>0</v>
      </c>
      <c r="L626" s="42">
        <v>11</v>
      </c>
      <c r="M626" s="42" t="s">
        <v>238</v>
      </c>
      <c r="N626" s="42">
        <v>1</v>
      </c>
      <c r="O626" s="42" t="s">
        <v>112</v>
      </c>
      <c r="P626" s="42">
        <v>63</v>
      </c>
      <c r="Q626" s="42" t="s">
        <v>324</v>
      </c>
      <c r="R626" s="42" t="s">
        <v>114</v>
      </c>
      <c r="U626" s="42" t="s">
        <v>115</v>
      </c>
      <c r="V626" s="42">
        <v>1</v>
      </c>
      <c r="W626" s="42" t="s">
        <v>116</v>
      </c>
      <c r="X626" s="42">
        <v>18</v>
      </c>
      <c r="Y626" s="42" t="s">
        <v>117</v>
      </c>
      <c r="Z626" s="42">
        <v>2027.981</v>
      </c>
      <c r="AA626" s="42">
        <v>122.509</v>
      </c>
      <c r="AB626" s="42" t="s">
        <v>36</v>
      </c>
      <c r="AC626" s="42">
        <v>1</v>
      </c>
      <c r="AD626" s="42">
        <v>1</v>
      </c>
      <c r="AE626" s="42">
        <v>248445.92</v>
      </c>
    </row>
    <row r="627" spans="1:31" x14ac:dyDescent="0.2">
      <c r="A627" s="42" t="s">
        <v>917</v>
      </c>
      <c r="B627" s="42">
        <v>1</v>
      </c>
      <c r="C627" s="42" t="s">
        <v>404</v>
      </c>
      <c r="D627" s="42">
        <v>231</v>
      </c>
      <c r="E627" s="42" t="s">
        <v>407</v>
      </c>
      <c r="F627" s="42" t="s">
        <v>707</v>
      </c>
      <c r="G627" s="42">
        <v>11963</v>
      </c>
      <c r="H627" s="42" t="s">
        <v>708</v>
      </c>
      <c r="I627" s="42">
        <v>551263.98</v>
      </c>
      <c r="J627" s="42">
        <v>551263.98</v>
      </c>
      <c r="K627" s="42" t="b">
        <v>0</v>
      </c>
      <c r="L627" s="42">
        <v>11</v>
      </c>
      <c r="M627" s="42" t="s">
        <v>238</v>
      </c>
      <c r="N627" s="42">
        <v>1</v>
      </c>
      <c r="O627" s="42" t="s">
        <v>112</v>
      </c>
      <c r="P627" s="42">
        <v>63</v>
      </c>
      <c r="Q627" s="42" t="s">
        <v>324</v>
      </c>
      <c r="R627" s="42" t="s">
        <v>114</v>
      </c>
      <c r="U627" s="42" t="s">
        <v>121</v>
      </c>
      <c r="V627" s="42">
        <v>1</v>
      </c>
      <c r="W627" s="42" t="s">
        <v>116</v>
      </c>
      <c r="X627" s="42">
        <v>18</v>
      </c>
      <c r="Y627" s="42" t="s">
        <v>117</v>
      </c>
      <c r="Z627" s="42">
        <v>425030.054</v>
      </c>
      <c r="AA627" s="42">
        <v>1.2969999999999999</v>
      </c>
      <c r="AB627" s="42" t="s">
        <v>36</v>
      </c>
      <c r="AC627" s="42">
        <v>1</v>
      </c>
      <c r="AD627" s="42">
        <v>1</v>
      </c>
      <c r="AE627" s="42">
        <v>551263.98</v>
      </c>
    </row>
    <row r="628" spans="1:31" x14ac:dyDescent="0.2">
      <c r="A628" s="42" t="s">
        <v>917</v>
      </c>
      <c r="B628" s="42">
        <v>1</v>
      </c>
      <c r="C628" s="42" t="s">
        <v>404</v>
      </c>
      <c r="D628" s="42">
        <v>231</v>
      </c>
      <c r="E628" s="42" t="s">
        <v>407</v>
      </c>
      <c r="F628" s="42" t="s">
        <v>709</v>
      </c>
      <c r="G628" s="42">
        <v>11964</v>
      </c>
      <c r="H628" s="42" t="s">
        <v>710</v>
      </c>
      <c r="I628" s="42">
        <v>270726.2</v>
      </c>
      <c r="J628" s="42">
        <v>270726.2</v>
      </c>
      <c r="K628" s="42" t="b">
        <v>0</v>
      </c>
      <c r="L628" s="42">
        <v>5</v>
      </c>
      <c r="M628" s="42" t="s">
        <v>108</v>
      </c>
      <c r="N628" s="42">
        <v>1</v>
      </c>
      <c r="O628" s="42" t="s">
        <v>112</v>
      </c>
      <c r="P628" s="42">
        <v>51</v>
      </c>
      <c r="Q628" s="42" t="s">
        <v>112</v>
      </c>
      <c r="R628" s="42" t="s">
        <v>114</v>
      </c>
      <c r="U628" s="42" t="s">
        <v>115</v>
      </c>
      <c r="V628" s="42">
        <v>1</v>
      </c>
      <c r="W628" s="42" t="s">
        <v>116</v>
      </c>
      <c r="X628" s="42">
        <v>18</v>
      </c>
      <c r="Y628" s="42" t="s">
        <v>117</v>
      </c>
      <c r="Z628" s="42">
        <v>31406.752</v>
      </c>
      <c r="AA628" s="42">
        <v>8.6199999999999992</v>
      </c>
      <c r="AB628" s="42" t="s">
        <v>36</v>
      </c>
      <c r="AC628" s="42">
        <v>1</v>
      </c>
      <c r="AD628" s="42">
        <v>1</v>
      </c>
      <c r="AE628" s="42">
        <v>270726.2</v>
      </c>
    </row>
    <row r="629" spans="1:31" x14ac:dyDescent="0.2">
      <c r="A629" s="42" t="s">
        <v>917</v>
      </c>
      <c r="B629" s="42">
        <v>1</v>
      </c>
      <c r="C629" s="42" t="s">
        <v>454</v>
      </c>
      <c r="D629" s="42">
        <v>232</v>
      </c>
      <c r="E629" s="42" t="s">
        <v>451</v>
      </c>
      <c r="F629" s="42" t="s">
        <v>126</v>
      </c>
      <c r="G629" s="42">
        <v>2534</v>
      </c>
      <c r="H629" s="42" t="s">
        <v>127</v>
      </c>
      <c r="I629" s="42">
        <v>1300</v>
      </c>
      <c r="J629" s="42">
        <v>1300</v>
      </c>
      <c r="K629" s="42" t="b">
        <v>0</v>
      </c>
      <c r="L629" s="42">
        <v>4</v>
      </c>
      <c r="M629" s="42" t="s">
        <v>128</v>
      </c>
      <c r="N629" s="42">
        <v>2</v>
      </c>
      <c r="O629" s="42" t="s">
        <v>122</v>
      </c>
      <c r="P629" s="42">
        <v>14</v>
      </c>
      <c r="Q629" s="42" t="s">
        <v>323</v>
      </c>
      <c r="R629" s="42" t="s">
        <v>114</v>
      </c>
      <c r="U629" s="42" t="s">
        <v>115</v>
      </c>
      <c r="V629" s="42">
        <v>1</v>
      </c>
      <c r="W629" s="42" t="s">
        <v>116</v>
      </c>
      <c r="X629" s="42">
        <v>18</v>
      </c>
      <c r="Y629" s="42" t="s">
        <v>117</v>
      </c>
      <c r="Z629" s="42">
        <v>11.83</v>
      </c>
      <c r="AA629" s="42">
        <v>109.8899</v>
      </c>
      <c r="AB629" s="42" t="s">
        <v>36</v>
      </c>
      <c r="AC629" s="42">
        <v>1</v>
      </c>
      <c r="AD629" s="42">
        <v>1</v>
      </c>
      <c r="AE629" s="42">
        <v>1300</v>
      </c>
    </row>
    <row r="630" spans="1:31" x14ac:dyDescent="0.2">
      <c r="A630" s="42" t="s">
        <v>917</v>
      </c>
      <c r="B630" s="42">
        <v>1</v>
      </c>
      <c r="C630" s="42" t="s">
        <v>454</v>
      </c>
      <c r="D630" s="42">
        <v>232</v>
      </c>
      <c r="E630" s="42" t="s">
        <v>451</v>
      </c>
      <c r="F630" s="42" t="s">
        <v>901</v>
      </c>
      <c r="G630" s="42">
        <v>2535</v>
      </c>
      <c r="H630" s="42" t="s">
        <v>902</v>
      </c>
      <c r="I630" s="42">
        <v>703.38</v>
      </c>
      <c r="J630" s="42">
        <v>703.38</v>
      </c>
      <c r="K630" s="42" t="b">
        <v>0</v>
      </c>
      <c r="L630" s="42">
        <v>4</v>
      </c>
      <c r="M630" s="42" t="s">
        <v>128</v>
      </c>
      <c r="N630" s="42">
        <v>2</v>
      </c>
      <c r="O630" s="42" t="s">
        <v>122</v>
      </c>
      <c r="P630" s="42">
        <v>210</v>
      </c>
      <c r="Q630" s="42" t="s">
        <v>834</v>
      </c>
      <c r="R630" s="42" t="s">
        <v>114</v>
      </c>
      <c r="U630" s="42" t="s">
        <v>121</v>
      </c>
      <c r="V630" s="42">
        <v>1</v>
      </c>
      <c r="W630" s="42" t="s">
        <v>116</v>
      </c>
      <c r="X630" s="42">
        <v>18</v>
      </c>
      <c r="Y630" s="42" t="s">
        <v>117</v>
      </c>
      <c r="Z630" s="42">
        <v>563.60799999999995</v>
      </c>
      <c r="AA630" s="42">
        <v>1.248</v>
      </c>
      <c r="AB630" s="42" t="s">
        <v>36</v>
      </c>
      <c r="AC630" s="42">
        <v>1</v>
      </c>
      <c r="AD630" s="42">
        <v>1</v>
      </c>
      <c r="AE630" s="42">
        <v>703.38</v>
      </c>
    </row>
    <row r="631" spans="1:31" x14ac:dyDescent="0.2">
      <c r="A631" s="42" t="s">
        <v>917</v>
      </c>
      <c r="B631" s="42">
        <v>1</v>
      </c>
      <c r="C631" s="42" t="s">
        <v>454</v>
      </c>
      <c r="D631" s="42">
        <v>232</v>
      </c>
      <c r="E631" s="42" t="s">
        <v>451</v>
      </c>
      <c r="F631" s="42" t="s">
        <v>195</v>
      </c>
      <c r="G631" s="42">
        <v>2859</v>
      </c>
      <c r="H631" s="42" t="s">
        <v>280</v>
      </c>
      <c r="I631" s="42">
        <v>412.57</v>
      </c>
      <c r="J631" s="42">
        <v>412.57</v>
      </c>
      <c r="K631" s="42" t="b">
        <v>0</v>
      </c>
      <c r="L631" s="42">
        <v>5</v>
      </c>
      <c r="M631" s="42" t="s">
        <v>108</v>
      </c>
      <c r="N631" s="42">
        <v>2</v>
      </c>
      <c r="O631" s="42" t="s">
        <v>122</v>
      </c>
      <c r="P631" s="42">
        <v>1</v>
      </c>
      <c r="Q631" s="42" t="s">
        <v>326</v>
      </c>
      <c r="R631" s="42" t="s">
        <v>114</v>
      </c>
      <c r="U631" s="42" t="s">
        <v>121</v>
      </c>
      <c r="V631" s="42">
        <v>1</v>
      </c>
      <c r="W631" s="42" t="s">
        <v>116</v>
      </c>
      <c r="X631" s="42">
        <v>18</v>
      </c>
      <c r="Y631" s="42" t="s">
        <v>117</v>
      </c>
      <c r="Z631" s="42">
        <v>150.72</v>
      </c>
      <c r="AA631" s="42">
        <v>2.7372999999999998</v>
      </c>
      <c r="AB631" s="42" t="s">
        <v>36</v>
      </c>
      <c r="AC631" s="42">
        <v>1</v>
      </c>
      <c r="AD631" s="42">
        <v>1</v>
      </c>
      <c r="AE631" s="42">
        <v>412.57</v>
      </c>
    </row>
    <row r="632" spans="1:31" x14ac:dyDescent="0.2">
      <c r="A632" s="42" t="s">
        <v>917</v>
      </c>
      <c r="B632" s="42">
        <v>1</v>
      </c>
      <c r="C632" s="42" t="s">
        <v>454</v>
      </c>
      <c r="D632" s="42">
        <v>232</v>
      </c>
      <c r="E632" s="42" t="s">
        <v>451</v>
      </c>
      <c r="F632" s="42" t="s">
        <v>269</v>
      </c>
      <c r="G632" s="42">
        <v>6409</v>
      </c>
      <c r="H632" s="42" t="s">
        <v>276</v>
      </c>
      <c r="I632" s="42">
        <v>598.77</v>
      </c>
      <c r="J632" s="42">
        <v>598.77</v>
      </c>
      <c r="K632" s="42" t="b">
        <v>0</v>
      </c>
      <c r="L632" s="42">
        <v>4</v>
      </c>
      <c r="M632" s="42" t="s">
        <v>128</v>
      </c>
      <c r="N632" s="42">
        <v>2</v>
      </c>
      <c r="O632" s="42" t="s">
        <v>122</v>
      </c>
      <c r="P632" s="42">
        <v>14</v>
      </c>
      <c r="Q632" s="42" t="s">
        <v>323</v>
      </c>
      <c r="R632" s="42" t="s">
        <v>114</v>
      </c>
      <c r="U632" s="42" t="s">
        <v>121</v>
      </c>
      <c r="V632" s="42">
        <v>1</v>
      </c>
      <c r="W632" s="42" t="s">
        <v>116</v>
      </c>
      <c r="X632" s="42">
        <v>18</v>
      </c>
      <c r="Y632" s="42" t="s">
        <v>117</v>
      </c>
      <c r="Z632" s="42">
        <v>409.80599999999998</v>
      </c>
      <c r="AA632" s="42">
        <v>1.4611000000000001</v>
      </c>
      <c r="AB632" s="42" t="s">
        <v>36</v>
      </c>
      <c r="AC632" s="42">
        <v>1</v>
      </c>
      <c r="AD632" s="42">
        <v>1</v>
      </c>
      <c r="AE632" s="42">
        <v>598.77</v>
      </c>
    </row>
    <row r="633" spans="1:31" x14ac:dyDescent="0.2">
      <c r="A633" s="42" t="s">
        <v>917</v>
      </c>
      <c r="B633" s="42">
        <v>1</v>
      </c>
      <c r="C633" s="42" t="s">
        <v>454</v>
      </c>
      <c r="D633" s="42">
        <v>232</v>
      </c>
      <c r="E633" s="42" t="s">
        <v>451</v>
      </c>
      <c r="F633" s="42" t="s">
        <v>267</v>
      </c>
      <c r="G633" s="42">
        <v>6962</v>
      </c>
      <c r="H633" s="42" t="s">
        <v>351</v>
      </c>
      <c r="I633" s="42">
        <v>1181.22</v>
      </c>
      <c r="J633" s="42">
        <v>1181.22</v>
      </c>
      <c r="K633" s="42" t="b">
        <v>0</v>
      </c>
      <c r="L633" s="42">
        <v>5</v>
      </c>
      <c r="M633" s="42" t="s">
        <v>108</v>
      </c>
      <c r="N633" s="42">
        <v>28</v>
      </c>
      <c r="O633" s="42" t="s">
        <v>120</v>
      </c>
      <c r="P633" s="42">
        <v>9</v>
      </c>
      <c r="Q633" s="42" t="s">
        <v>320</v>
      </c>
      <c r="R633" s="42" t="s">
        <v>114</v>
      </c>
      <c r="U633" s="42" t="s">
        <v>121</v>
      </c>
      <c r="V633" s="42">
        <v>1</v>
      </c>
      <c r="W633" s="42" t="s">
        <v>116</v>
      </c>
      <c r="X633" s="42">
        <v>18</v>
      </c>
      <c r="Y633" s="42" t="s">
        <v>117</v>
      </c>
      <c r="Z633" s="42">
        <v>469.66800000000001</v>
      </c>
      <c r="AA633" s="42">
        <v>2.5150000000000001</v>
      </c>
      <c r="AB633" s="42" t="s">
        <v>36</v>
      </c>
      <c r="AC633" s="42">
        <v>1</v>
      </c>
      <c r="AD633" s="42">
        <v>1</v>
      </c>
      <c r="AE633" s="42">
        <v>1181.22</v>
      </c>
    </row>
    <row r="634" spans="1:31" x14ac:dyDescent="0.2">
      <c r="A634" s="42" t="s">
        <v>917</v>
      </c>
      <c r="B634" s="42">
        <v>1</v>
      </c>
      <c r="C634" s="42" t="s">
        <v>454</v>
      </c>
      <c r="D634" s="42">
        <v>232</v>
      </c>
      <c r="E634" s="42" t="s">
        <v>451</v>
      </c>
      <c r="F634" s="42" t="s">
        <v>903</v>
      </c>
      <c r="G634" s="42">
        <v>7045</v>
      </c>
      <c r="H634" s="42" t="s">
        <v>904</v>
      </c>
      <c r="I634" s="42">
        <v>1284.3699999999999</v>
      </c>
      <c r="J634" s="42">
        <v>1284.3699999999999</v>
      </c>
      <c r="K634" s="42" t="b">
        <v>0</v>
      </c>
      <c r="L634" s="42">
        <v>5</v>
      </c>
      <c r="M634" s="42" t="s">
        <v>108</v>
      </c>
      <c r="N634" s="42">
        <v>1</v>
      </c>
      <c r="O634" s="42" t="s">
        <v>112</v>
      </c>
      <c r="P634" s="42">
        <v>51</v>
      </c>
      <c r="Q634" s="42" t="s">
        <v>112</v>
      </c>
      <c r="R634" s="42" t="s">
        <v>114</v>
      </c>
      <c r="U634" s="42" t="s">
        <v>121</v>
      </c>
      <c r="V634" s="42">
        <v>1</v>
      </c>
      <c r="W634" s="42" t="s">
        <v>116</v>
      </c>
      <c r="X634" s="42">
        <v>18</v>
      </c>
      <c r="Y634" s="42" t="s">
        <v>117</v>
      </c>
      <c r="Z634" s="42">
        <v>790.14</v>
      </c>
      <c r="AA634" s="42">
        <v>1.6254999999999999</v>
      </c>
      <c r="AB634" s="42" t="s">
        <v>36</v>
      </c>
      <c r="AC634" s="42">
        <v>1</v>
      </c>
      <c r="AD634" s="42">
        <v>1</v>
      </c>
      <c r="AE634" s="42">
        <v>1284.3699999999999</v>
      </c>
    </row>
    <row r="635" spans="1:31" x14ac:dyDescent="0.2">
      <c r="A635" s="42" t="s">
        <v>917</v>
      </c>
      <c r="B635" s="42">
        <v>1</v>
      </c>
      <c r="C635" s="42" t="s">
        <v>454</v>
      </c>
      <c r="D635" s="42">
        <v>232</v>
      </c>
      <c r="E635" s="42" t="s">
        <v>451</v>
      </c>
      <c r="F635" s="42" t="s">
        <v>352</v>
      </c>
      <c r="G635" s="42">
        <v>10458</v>
      </c>
      <c r="H635" s="42" t="s">
        <v>353</v>
      </c>
      <c r="I635" s="42">
        <v>508.51</v>
      </c>
      <c r="J635" s="42">
        <v>508.51</v>
      </c>
      <c r="K635" s="42" t="b">
        <v>0</v>
      </c>
      <c r="L635" s="42">
        <v>5</v>
      </c>
      <c r="M635" s="42" t="s">
        <v>108</v>
      </c>
      <c r="N635" s="42">
        <v>29</v>
      </c>
      <c r="O635" s="42" t="s">
        <v>142</v>
      </c>
      <c r="P635" s="42">
        <v>3</v>
      </c>
      <c r="Q635" s="42" t="s">
        <v>325</v>
      </c>
      <c r="R635" s="42" t="s">
        <v>114</v>
      </c>
      <c r="U635" s="42" t="s">
        <v>121</v>
      </c>
      <c r="V635" s="42">
        <v>1</v>
      </c>
      <c r="W635" s="42" t="s">
        <v>116</v>
      </c>
      <c r="X635" s="42">
        <v>18</v>
      </c>
      <c r="Y635" s="42" t="s">
        <v>117</v>
      </c>
      <c r="Z635" s="42">
        <v>350.28699999999998</v>
      </c>
      <c r="AA635" s="42">
        <v>1.4517</v>
      </c>
      <c r="AB635" s="42" t="s">
        <v>36</v>
      </c>
      <c r="AC635" s="42">
        <v>1</v>
      </c>
      <c r="AD635" s="42">
        <v>1</v>
      </c>
      <c r="AE635" s="42">
        <v>508.51</v>
      </c>
    </row>
    <row r="636" spans="1:31" x14ac:dyDescent="0.2">
      <c r="A636" s="42" t="s">
        <v>917</v>
      </c>
      <c r="B636" s="42">
        <v>1</v>
      </c>
      <c r="C636" s="42" t="s">
        <v>454</v>
      </c>
      <c r="D636" s="42">
        <v>232</v>
      </c>
      <c r="E636" s="42" t="s">
        <v>451</v>
      </c>
      <c r="F636" s="42" t="s">
        <v>905</v>
      </c>
      <c r="G636" s="42">
        <v>10465</v>
      </c>
      <c r="H636" s="42" t="s">
        <v>906</v>
      </c>
      <c r="I636" s="42">
        <v>556.62</v>
      </c>
      <c r="J636" s="42">
        <v>556.62</v>
      </c>
      <c r="K636" s="42" t="b">
        <v>0</v>
      </c>
      <c r="L636" s="42">
        <v>5</v>
      </c>
      <c r="M636" s="42" t="s">
        <v>108</v>
      </c>
      <c r="N636" s="42">
        <v>1</v>
      </c>
      <c r="O636" s="42" t="s">
        <v>112</v>
      </c>
      <c r="P636" s="42">
        <v>51</v>
      </c>
      <c r="Q636" s="42" t="s">
        <v>112</v>
      </c>
      <c r="R636" s="42" t="s">
        <v>114</v>
      </c>
      <c r="U636" s="42" t="s">
        <v>121</v>
      </c>
      <c r="V636" s="42">
        <v>1</v>
      </c>
      <c r="W636" s="42" t="s">
        <v>116</v>
      </c>
      <c r="X636" s="42">
        <v>18</v>
      </c>
      <c r="Y636" s="42" t="s">
        <v>117</v>
      </c>
      <c r="Z636" s="42">
        <v>331.10599999999999</v>
      </c>
      <c r="AA636" s="42">
        <v>1.6811</v>
      </c>
      <c r="AB636" s="42" t="s">
        <v>36</v>
      </c>
      <c r="AC636" s="42">
        <v>1</v>
      </c>
      <c r="AD636" s="42">
        <v>1</v>
      </c>
      <c r="AE636" s="42">
        <v>556.62</v>
      </c>
    </row>
    <row r="637" spans="1:31" x14ac:dyDescent="0.2">
      <c r="A637" s="42" t="s">
        <v>917</v>
      </c>
      <c r="B637" s="42">
        <v>1</v>
      </c>
      <c r="C637" s="42" t="s">
        <v>454</v>
      </c>
      <c r="D637" s="42">
        <v>232</v>
      </c>
      <c r="E637" s="42" t="s">
        <v>451</v>
      </c>
      <c r="F637" s="42" t="s">
        <v>462</v>
      </c>
      <c r="G637" s="42">
        <v>11996</v>
      </c>
      <c r="H637" s="42" t="s">
        <v>463</v>
      </c>
      <c r="I637" s="42">
        <v>1408.21</v>
      </c>
      <c r="J637" s="42">
        <v>1408.21</v>
      </c>
      <c r="K637" s="42" t="b">
        <v>0</v>
      </c>
      <c r="L637" s="42">
        <v>4</v>
      </c>
      <c r="M637" s="42" t="s">
        <v>128</v>
      </c>
      <c r="N637" s="42">
        <v>2</v>
      </c>
      <c r="O637" s="42" t="s">
        <v>122</v>
      </c>
      <c r="P637" s="42">
        <v>27</v>
      </c>
      <c r="Q637" s="42" t="s">
        <v>113</v>
      </c>
      <c r="R637" s="42" t="s">
        <v>114</v>
      </c>
      <c r="U637" s="42" t="s">
        <v>121</v>
      </c>
      <c r="V637" s="42">
        <v>1</v>
      </c>
      <c r="W637" s="42" t="s">
        <v>116</v>
      </c>
      <c r="X637" s="42">
        <v>18</v>
      </c>
      <c r="Y637" s="42" t="s">
        <v>117</v>
      </c>
      <c r="Z637" s="42">
        <v>1313.2617</v>
      </c>
      <c r="AA637" s="42">
        <v>1.0723</v>
      </c>
      <c r="AB637" s="42" t="s">
        <v>36</v>
      </c>
      <c r="AC637" s="42">
        <v>1</v>
      </c>
      <c r="AD637" s="42">
        <v>1</v>
      </c>
      <c r="AE637" s="42">
        <v>1408.21</v>
      </c>
    </row>
    <row r="638" spans="1:31" x14ac:dyDescent="0.2">
      <c r="A638" s="42" t="s">
        <v>917</v>
      </c>
      <c r="B638" s="42">
        <v>1</v>
      </c>
      <c r="C638" s="42" t="s">
        <v>454</v>
      </c>
      <c r="D638" s="42">
        <v>232</v>
      </c>
      <c r="E638" s="42" t="s">
        <v>451</v>
      </c>
      <c r="F638" s="42" t="s">
        <v>907</v>
      </c>
      <c r="G638" s="42">
        <v>12089</v>
      </c>
      <c r="H638" s="42" t="s">
        <v>908</v>
      </c>
      <c r="I638" s="42">
        <v>627.82000000000005</v>
      </c>
      <c r="J638" s="42">
        <v>627.82000000000005</v>
      </c>
      <c r="K638" s="42" t="b">
        <v>0</v>
      </c>
      <c r="L638" s="42">
        <v>5</v>
      </c>
      <c r="M638" s="42" t="s">
        <v>108</v>
      </c>
      <c r="N638" s="42">
        <v>4</v>
      </c>
      <c r="O638" s="42" t="s">
        <v>109</v>
      </c>
      <c r="P638" s="42">
        <v>6</v>
      </c>
      <c r="Q638" s="42" t="s">
        <v>109</v>
      </c>
      <c r="R638" s="42" t="s">
        <v>114</v>
      </c>
      <c r="U638" s="42" t="s">
        <v>115</v>
      </c>
      <c r="V638" s="42">
        <v>1</v>
      </c>
      <c r="W638" s="42" t="s">
        <v>116</v>
      </c>
      <c r="X638" s="42">
        <v>18</v>
      </c>
      <c r="Y638" s="42" t="s">
        <v>117</v>
      </c>
      <c r="Z638" s="42">
        <v>47.962000000000003</v>
      </c>
      <c r="AA638" s="42">
        <v>13.09</v>
      </c>
      <c r="AB638" s="42" t="s">
        <v>36</v>
      </c>
      <c r="AC638" s="42">
        <v>1</v>
      </c>
      <c r="AD638" s="42">
        <v>1</v>
      </c>
      <c r="AE638" s="42">
        <v>627.82000000000005</v>
      </c>
    </row>
    <row r="639" spans="1:31" x14ac:dyDescent="0.2">
      <c r="A639" s="42" t="s">
        <v>917</v>
      </c>
      <c r="B639" s="42">
        <v>1</v>
      </c>
      <c r="C639" s="42" t="s">
        <v>454</v>
      </c>
      <c r="D639" s="42">
        <v>232</v>
      </c>
      <c r="E639" s="42" t="s">
        <v>451</v>
      </c>
      <c r="F639" s="42" t="s">
        <v>909</v>
      </c>
      <c r="G639" s="42">
        <v>12090</v>
      </c>
      <c r="H639" s="42" t="s">
        <v>910</v>
      </c>
      <c r="I639" s="42">
        <v>419.24</v>
      </c>
      <c r="J639" s="42">
        <v>419.24</v>
      </c>
      <c r="K639" s="42" t="b">
        <v>0</v>
      </c>
      <c r="L639" s="42">
        <v>5</v>
      </c>
      <c r="M639" s="42" t="s">
        <v>108</v>
      </c>
      <c r="N639" s="42">
        <v>2</v>
      </c>
      <c r="O639" s="42" t="s">
        <v>122</v>
      </c>
      <c r="P639" s="42">
        <v>1</v>
      </c>
      <c r="Q639" s="42" t="s">
        <v>326</v>
      </c>
      <c r="R639" s="42" t="s">
        <v>114</v>
      </c>
      <c r="U639" s="42" t="s">
        <v>121</v>
      </c>
      <c r="V639" s="42">
        <v>1</v>
      </c>
      <c r="W639" s="42" t="s">
        <v>116</v>
      </c>
      <c r="X639" s="42">
        <v>18</v>
      </c>
      <c r="Y639" s="42" t="s">
        <v>117</v>
      </c>
      <c r="Z639" s="42">
        <v>63.13</v>
      </c>
      <c r="AA639" s="42">
        <v>6.6409000000000002</v>
      </c>
      <c r="AB639" s="42" t="s">
        <v>36</v>
      </c>
      <c r="AC639" s="42">
        <v>1</v>
      </c>
      <c r="AD639" s="42">
        <v>1</v>
      </c>
      <c r="AE639" s="42">
        <v>419.24</v>
      </c>
    </row>
    <row r="640" spans="1:31" x14ac:dyDescent="0.2">
      <c r="A640" s="42" t="s">
        <v>917</v>
      </c>
      <c r="B640" s="42">
        <v>1</v>
      </c>
      <c r="C640" s="42" t="s">
        <v>454</v>
      </c>
      <c r="D640" s="42">
        <v>232</v>
      </c>
      <c r="E640" s="42" t="s">
        <v>451</v>
      </c>
      <c r="F640" s="42" t="s">
        <v>911</v>
      </c>
      <c r="G640" s="42">
        <v>12091</v>
      </c>
      <c r="H640" s="42" t="s">
        <v>912</v>
      </c>
      <c r="I640" s="42">
        <v>714.37</v>
      </c>
      <c r="J640" s="42">
        <v>714.37</v>
      </c>
      <c r="K640" s="42" t="b">
        <v>0</v>
      </c>
      <c r="L640" s="42">
        <v>11</v>
      </c>
      <c r="M640" s="42" t="s">
        <v>238</v>
      </c>
      <c r="N640" s="42">
        <v>1</v>
      </c>
      <c r="O640" s="42" t="s">
        <v>112</v>
      </c>
      <c r="P640" s="42">
        <v>63</v>
      </c>
      <c r="Q640" s="42" t="s">
        <v>324</v>
      </c>
      <c r="R640" s="42" t="s">
        <v>114</v>
      </c>
      <c r="U640" s="42" t="s">
        <v>121</v>
      </c>
      <c r="V640" s="42">
        <v>1</v>
      </c>
      <c r="W640" s="42" t="s">
        <v>116</v>
      </c>
      <c r="X640" s="42">
        <v>18</v>
      </c>
      <c r="Y640" s="42" t="s">
        <v>117</v>
      </c>
      <c r="Z640" s="42">
        <v>281.69009999999997</v>
      </c>
      <c r="AA640" s="42">
        <v>2.536</v>
      </c>
      <c r="AB640" s="42" t="s">
        <v>36</v>
      </c>
      <c r="AC640" s="42">
        <v>1</v>
      </c>
      <c r="AD640" s="42">
        <v>1</v>
      </c>
      <c r="AE640" s="42">
        <v>714.37</v>
      </c>
    </row>
    <row r="641" spans="1:31" x14ac:dyDescent="0.2">
      <c r="A641" s="42" t="s">
        <v>917</v>
      </c>
      <c r="B641" s="42">
        <v>1</v>
      </c>
      <c r="C641" s="42" t="s">
        <v>456</v>
      </c>
      <c r="D641" s="42">
        <v>233</v>
      </c>
      <c r="E641" s="42" t="s">
        <v>452</v>
      </c>
      <c r="F641" s="42" t="s">
        <v>126</v>
      </c>
      <c r="G641" s="42">
        <v>2534</v>
      </c>
      <c r="H641" s="42" t="s">
        <v>127</v>
      </c>
      <c r="I641" s="42">
        <v>15601.07</v>
      </c>
      <c r="J641" s="42">
        <v>15601.07</v>
      </c>
      <c r="K641" s="42" t="b">
        <v>0</v>
      </c>
      <c r="L641" s="42">
        <v>4</v>
      </c>
      <c r="M641" s="42" t="s">
        <v>128</v>
      </c>
      <c r="N641" s="42">
        <v>2</v>
      </c>
      <c r="O641" s="42" t="s">
        <v>122</v>
      </c>
      <c r="P641" s="42">
        <v>14</v>
      </c>
      <c r="Q641" s="42" t="s">
        <v>323</v>
      </c>
      <c r="R641" s="42" t="s">
        <v>114</v>
      </c>
      <c r="U641" s="42" t="s">
        <v>115</v>
      </c>
      <c r="V641" s="42">
        <v>1</v>
      </c>
      <c r="W641" s="42" t="s">
        <v>116</v>
      </c>
      <c r="X641" s="42">
        <v>18</v>
      </c>
      <c r="Y641" s="42" t="s">
        <v>117</v>
      </c>
      <c r="Z641" s="42">
        <v>141.97</v>
      </c>
      <c r="AA641" s="42">
        <v>109.8899</v>
      </c>
      <c r="AB641" s="42" t="s">
        <v>36</v>
      </c>
      <c r="AC641" s="42">
        <v>1</v>
      </c>
      <c r="AD641" s="42">
        <v>1</v>
      </c>
      <c r="AE641" s="42">
        <v>15601.07</v>
      </c>
    </row>
    <row r="642" spans="1:31" x14ac:dyDescent="0.2">
      <c r="A642" s="42" t="s">
        <v>917</v>
      </c>
      <c r="B642" s="42">
        <v>1</v>
      </c>
      <c r="C642" s="42" t="s">
        <v>456</v>
      </c>
      <c r="D642" s="42">
        <v>233</v>
      </c>
      <c r="E642" s="42" t="s">
        <v>452</v>
      </c>
      <c r="F642" s="42" t="s">
        <v>195</v>
      </c>
      <c r="G642" s="42">
        <v>2859</v>
      </c>
      <c r="H642" s="42" t="s">
        <v>280</v>
      </c>
      <c r="I642" s="42">
        <v>19726.52</v>
      </c>
      <c r="J642" s="42">
        <v>19726.52</v>
      </c>
      <c r="K642" s="42" t="b">
        <v>0</v>
      </c>
      <c r="L642" s="42">
        <v>5</v>
      </c>
      <c r="M642" s="42" t="s">
        <v>108</v>
      </c>
      <c r="N642" s="42">
        <v>2</v>
      </c>
      <c r="O642" s="42" t="s">
        <v>122</v>
      </c>
      <c r="P642" s="42">
        <v>1</v>
      </c>
      <c r="Q642" s="42" t="s">
        <v>326</v>
      </c>
      <c r="R642" s="42" t="s">
        <v>114</v>
      </c>
      <c r="U642" s="42" t="s">
        <v>121</v>
      </c>
      <c r="V642" s="42">
        <v>1</v>
      </c>
      <c r="W642" s="42" t="s">
        <v>116</v>
      </c>
      <c r="X642" s="42">
        <v>18</v>
      </c>
      <c r="Y642" s="42" t="s">
        <v>117</v>
      </c>
      <c r="Z642" s="42">
        <v>7206.5609999999997</v>
      </c>
      <c r="AA642" s="42">
        <v>2.7372999999999998</v>
      </c>
      <c r="AB642" s="42" t="s">
        <v>36</v>
      </c>
      <c r="AC642" s="42">
        <v>1</v>
      </c>
      <c r="AD642" s="42">
        <v>1</v>
      </c>
      <c r="AE642" s="42">
        <v>19726.52</v>
      </c>
    </row>
    <row r="643" spans="1:31" x14ac:dyDescent="0.2">
      <c r="A643" s="42" t="s">
        <v>917</v>
      </c>
      <c r="B643" s="42">
        <v>1</v>
      </c>
      <c r="C643" s="42" t="s">
        <v>456</v>
      </c>
      <c r="D643" s="42">
        <v>233</v>
      </c>
      <c r="E643" s="42" t="s">
        <v>452</v>
      </c>
      <c r="F643" s="42" t="s">
        <v>134</v>
      </c>
      <c r="G643" s="42">
        <v>2865</v>
      </c>
      <c r="H643" s="42" t="s">
        <v>135</v>
      </c>
      <c r="I643" s="42">
        <v>10133.790000000001</v>
      </c>
      <c r="J643" s="42">
        <v>10133.790000000001</v>
      </c>
      <c r="K643" s="42" t="b">
        <v>0</v>
      </c>
      <c r="L643" s="42">
        <v>4</v>
      </c>
      <c r="M643" s="42" t="s">
        <v>128</v>
      </c>
      <c r="N643" s="42">
        <v>1</v>
      </c>
      <c r="O643" s="42" t="s">
        <v>112</v>
      </c>
      <c r="P643" s="42">
        <v>14</v>
      </c>
      <c r="Q643" s="42" t="s">
        <v>323</v>
      </c>
      <c r="R643" s="42" t="s">
        <v>114</v>
      </c>
      <c r="U643" s="42" t="s">
        <v>121</v>
      </c>
      <c r="V643" s="42">
        <v>1</v>
      </c>
      <c r="W643" s="42" t="s">
        <v>116</v>
      </c>
      <c r="X643" s="42">
        <v>18</v>
      </c>
      <c r="Y643" s="42" t="s">
        <v>117</v>
      </c>
      <c r="Z643" s="42">
        <v>17897.896000000001</v>
      </c>
      <c r="AA643" s="42">
        <v>0.56620000000000004</v>
      </c>
      <c r="AB643" s="42" t="s">
        <v>36</v>
      </c>
      <c r="AC643" s="42">
        <v>1</v>
      </c>
      <c r="AD643" s="42">
        <v>1</v>
      </c>
      <c r="AE643" s="42">
        <v>10133.790000000001</v>
      </c>
    </row>
    <row r="644" spans="1:31" x14ac:dyDescent="0.2">
      <c r="A644" s="42" t="s">
        <v>917</v>
      </c>
      <c r="B644" s="42">
        <v>1</v>
      </c>
      <c r="C644" s="42" t="s">
        <v>456</v>
      </c>
      <c r="D644" s="42">
        <v>233</v>
      </c>
      <c r="E644" s="42" t="s">
        <v>452</v>
      </c>
      <c r="F644" s="42" t="s">
        <v>913</v>
      </c>
      <c r="G644" s="42">
        <v>2878</v>
      </c>
      <c r="H644" s="42" t="s">
        <v>914</v>
      </c>
      <c r="I644" s="42">
        <v>7508.54</v>
      </c>
      <c r="J644" s="42">
        <v>7508.54</v>
      </c>
      <c r="K644" s="42" t="b">
        <v>0</v>
      </c>
      <c r="L644" s="42">
        <v>5</v>
      </c>
      <c r="M644" s="42" t="s">
        <v>108</v>
      </c>
      <c r="N644" s="42">
        <v>2</v>
      </c>
      <c r="O644" s="42" t="s">
        <v>122</v>
      </c>
      <c r="P644" s="42">
        <v>1</v>
      </c>
      <c r="Q644" s="42" t="s">
        <v>326</v>
      </c>
      <c r="R644" s="42" t="s">
        <v>114</v>
      </c>
      <c r="U644" s="42" t="s">
        <v>121</v>
      </c>
      <c r="V644" s="42">
        <v>1</v>
      </c>
      <c r="W644" s="42" t="s">
        <v>116</v>
      </c>
      <c r="X644" s="42">
        <v>18</v>
      </c>
      <c r="Y644" s="42" t="s">
        <v>117</v>
      </c>
      <c r="Z644" s="42">
        <v>3583.5160000000001</v>
      </c>
      <c r="AA644" s="42">
        <v>2.0952999999999999</v>
      </c>
      <c r="AB644" s="42" t="s">
        <v>36</v>
      </c>
      <c r="AC644" s="42">
        <v>1</v>
      </c>
      <c r="AD644" s="42">
        <v>1</v>
      </c>
      <c r="AE644" s="42">
        <v>7508.54</v>
      </c>
    </row>
    <row r="645" spans="1:31" x14ac:dyDescent="0.2">
      <c r="A645" s="42" t="s">
        <v>917</v>
      </c>
      <c r="B645" s="42">
        <v>1</v>
      </c>
      <c r="C645" s="42" t="s">
        <v>456</v>
      </c>
      <c r="D645" s="42">
        <v>233</v>
      </c>
      <c r="E645" s="42" t="s">
        <v>452</v>
      </c>
      <c r="F645" s="42" t="s">
        <v>225</v>
      </c>
      <c r="G645" s="42">
        <v>2916</v>
      </c>
      <c r="H645" s="42" t="s">
        <v>226</v>
      </c>
      <c r="I645" s="42">
        <v>5715.11</v>
      </c>
      <c r="J645" s="42">
        <v>5715.11</v>
      </c>
      <c r="K645" s="42" t="b">
        <v>0</v>
      </c>
      <c r="L645" s="42">
        <v>5</v>
      </c>
      <c r="M645" s="42" t="s">
        <v>108</v>
      </c>
      <c r="N645" s="42">
        <v>5</v>
      </c>
      <c r="O645" s="42" t="s">
        <v>143</v>
      </c>
      <c r="P645" s="42">
        <v>55</v>
      </c>
      <c r="Q645" s="42" t="s">
        <v>143</v>
      </c>
      <c r="R645" s="42" t="s">
        <v>114</v>
      </c>
      <c r="U645" s="42" t="s">
        <v>121</v>
      </c>
      <c r="V645" s="42">
        <v>1</v>
      </c>
      <c r="W645" s="42" t="s">
        <v>116</v>
      </c>
      <c r="X645" s="42">
        <v>18</v>
      </c>
      <c r="Y645" s="42" t="s">
        <v>117</v>
      </c>
      <c r="Z645" s="42">
        <v>7613.0360000000001</v>
      </c>
      <c r="AA645" s="42">
        <v>0.75070000000000003</v>
      </c>
      <c r="AB645" s="42" t="s">
        <v>36</v>
      </c>
      <c r="AC645" s="42">
        <v>1</v>
      </c>
      <c r="AD645" s="42">
        <v>1</v>
      </c>
      <c r="AE645" s="42">
        <v>5715.11</v>
      </c>
    </row>
    <row r="646" spans="1:31" x14ac:dyDescent="0.2">
      <c r="A646" s="42" t="s">
        <v>917</v>
      </c>
      <c r="B646" s="42">
        <v>1</v>
      </c>
      <c r="C646" s="42" t="s">
        <v>456</v>
      </c>
      <c r="D646" s="42">
        <v>233</v>
      </c>
      <c r="E646" s="42" t="s">
        <v>452</v>
      </c>
      <c r="F646" s="42" t="s">
        <v>196</v>
      </c>
      <c r="G646" s="42">
        <v>4652</v>
      </c>
      <c r="H646" s="42" t="s">
        <v>281</v>
      </c>
      <c r="I646" s="42">
        <v>14442.43</v>
      </c>
      <c r="J646" s="42">
        <v>14442.43</v>
      </c>
      <c r="K646" s="42" t="b">
        <v>0</v>
      </c>
      <c r="L646" s="42">
        <v>5</v>
      </c>
      <c r="M646" s="42" t="s">
        <v>108</v>
      </c>
      <c r="N646" s="42">
        <v>4</v>
      </c>
      <c r="O646" s="42" t="s">
        <v>109</v>
      </c>
      <c r="P646" s="42">
        <v>6</v>
      </c>
      <c r="Q646" s="42" t="s">
        <v>109</v>
      </c>
      <c r="R646" s="42" t="s">
        <v>114</v>
      </c>
      <c r="U646" s="42" t="s">
        <v>121</v>
      </c>
      <c r="V646" s="42">
        <v>1</v>
      </c>
      <c r="W646" s="42" t="s">
        <v>116</v>
      </c>
      <c r="X646" s="42">
        <v>18</v>
      </c>
      <c r="Y646" s="42" t="s">
        <v>117</v>
      </c>
      <c r="Z646" s="42">
        <v>2442.1990000000001</v>
      </c>
      <c r="AA646" s="42">
        <v>5.9137000000000004</v>
      </c>
      <c r="AB646" s="42" t="s">
        <v>36</v>
      </c>
      <c r="AC646" s="42">
        <v>1</v>
      </c>
      <c r="AD646" s="42">
        <v>1</v>
      </c>
      <c r="AE646" s="42">
        <v>14442.43</v>
      </c>
    </row>
    <row r="647" spans="1:31" x14ac:dyDescent="0.2">
      <c r="A647" s="42" t="s">
        <v>917</v>
      </c>
      <c r="B647" s="42">
        <v>1</v>
      </c>
      <c r="C647" s="42" t="s">
        <v>456</v>
      </c>
      <c r="D647" s="42">
        <v>233</v>
      </c>
      <c r="E647" s="42" t="s">
        <v>452</v>
      </c>
      <c r="F647" s="42" t="s">
        <v>269</v>
      </c>
      <c r="G647" s="42">
        <v>6409</v>
      </c>
      <c r="H647" s="42" t="s">
        <v>276</v>
      </c>
      <c r="I647" s="42">
        <v>26940.09</v>
      </c>
      <c r="J647" s="42">
        <v>26940.09</v>
      </c>
      <c r="K647" s="42" t="b">
        <v>0</v>
      </c>
      <c r="L647" s="42">
        <v>4</v>
      </c>
      <c r="M647" s="42" t="s">
        <v>128</v>
      </c>
      <c r="N647" s="42">
        <v>2</v>
      </c>
      <c r="O647" s="42" t="s">
        <v>122</v>
      </c>
      <c r="P647" s="42">
        <v>14</v>
      </c>
      <c r="Q647" s="42" t="s">
        <v>323</v>
      </c>
      <c r="R647" s="42" t="s">
        <v>114</v>
      </c>
      <c r="U647" s="42" t="s">
        <v>121</v>
      </c>
      <c r="V647" s="42">
        <v>1</v>
      </c>
      <c r="W647" s="42" t="s">
        <v>116</v>
      </c>
      <c r="X647" s="42">
        <v>18</v>
      </c>
      <c r="Y647" s="42" t="s">
        <v>117</v>
      </c>
      <c r="Z647" s="42">
        <v>18438.225999999999</v>
      </c>
      <c r="AA647" s="42">
        <v>1.4611000000000001</v>
      </c>
      <c r="AB647" s="42" t="s">
        <v>36</v>
      </c>
      <c r="AC647" s="42">
        <v>1</v>
      </c>
      <c r="AD647" s="42">
        <v>1</v>
      </c>
      <c r="AE647" s="42">
        <v>26940.09</v>
      </c>
    </row>
    <row r="648" spans="1:31" x14ac:dyDescent="0.2">
      <c r="A648" s="42" t="s">
        <v>917</v>
      </c>
      <c r="B648" s="42">
        <v>1</v>
      </c>
      <c r="C648" s="42" t="s">
        <v>456</v>
      </c>
      <c r="D648" s="42">
        <v>233</v>
      </c>
      <c r="E648" s="42" t="s">
        <v>452</v>
      </c>
      <c r="F648" s="42" t="s">
        <v>267</v>
      </c>
      <c r="G648" s="42">
        <v>6962</v>
      </c>
      <c r="H648" s="42" t="s">
        <v>351</v>
      </c>
      <c r="I648" s="42">
        <v>15915.35</v>
      </c>
      <c r="J648" s="42">
        <v>15915.35</v>
      </c>
      <c r="K648" s="42" t="b">
        <v>0</v>
      </c>
      <c r="L648" s="42">
        <v>5</v>
      </c>
      <c r="M648" s="42" t="s">
        <v>108</v>
      </c>
      <c r="N648" s="42">
        <v>28</v>
      </c>
      <c r="O648" s="42" t="s">
        <v>120</v>
      </c>
      <c r="P648" s="42">
        <v>9</v>
      </c>
      <c r="Q648" s="42" t="s">
        <v>320</v>
      </c>
      <c r="R648" s="42" t="s">
        <v>114</v>
      </c>
      <c r="U648" s="42" t="s">
        <v>121</v>
      </c>
      <c r="V648" s="42">
        <v>1</v>
      </c>
      <c r="W648" s="42" t="s">
        <v>116</v>
      </c>
      <c r="X648" s="42">
        <v>18</v>
      </c>
      <c r="Y648" s="42" t="s">
        <v>117</v>
      </c>
      <c r="Z648" s="42">
        <v>6328.1689999999999</v>
      </c>
      <c r="AA648" s="42">
        <v>2.5150000000000001</v>
      </c>
      <c r="AB648" s="42" t="s">
        <v>36</v>
      </c>
      <c r="AC648" s="42">
        <v>1</v>
      </c>
      <c r="AD648" s="42">
        <v>1</v>
      </c>
      <c r="AE648" s="42">
        <v>15915.35</v>
      </c>
    </row>
    <row r="649" spans="1:31" x14ac:dyDescent="0.2">
      <c r="A649" s="42" t="s">
        <v>917</v>
      </c>
      <c r="B649" s="42">
        <v>1</v>
      </c>
      <c r="C649" s="42" t="s">
        <v>456</v>
      </c>
      <c r="D649" s="42">
        <v>233</v>
      </c>
      <c r="E649" s="42" t="s">
        <v>452</v>
      </c>
      <c r="F649" s="42" t="s">
        <v>915</v>
      </c>
      <c r="G649" s="42">
        <v>7013</v>
      </c>
      <c r="H649" s="42" t="s">
        <v>916</v>
      </c>
      <c r="I649" s="42">
        <v>26448.05</v>
      </c>
      <c r="J649" s="42">
        <v>26448.05</v>
      </c>
      <c r="K649" s="42" t="b">
        <v>0</v>
      </c>
      <c r="L649" s="42">
        <v>5</v>
      </c>
      <c r="M649" s="42" t="s">
        <v>108</v>
      </c>
      <c r="N649" s="42">
        <v>29</v>
      </c>
      <c r="O649" s="42" t="s">
        <v>142</v>
      </c>
      <c r="P649" s="42">
        <v>3</v>
      </c>
      <c r="Q649" s="42" t="s">
        <v>325</v>
      </c>
      <c r="R649" s="42" t="s">
        <v>114</v>
      </c>
      <c r="U649" s="42" t="s">
        <v>121</v>
      </c>
      <c r="V649" s="42">
        <v>1</v>
      </c>
      <c r="W649" s="42" t="s">
        <v>116</v>
      </c>
      <c r="X649" s="42">
        <v>18</v>
      </c>
      <c r="Y649" s="42" t="s">
        <v>117</v>
      </c>
      <c r="Z649" s="42">
        <v>8188.7569999999996</v>
      </c>
      <c r="AA649" s="42">
        <v>3.2298</v>
      </c>
      <c r="AB649" s="42" t="s">
        <v>36</v>
      </c>
      <c r="AC649" s="42">
        <v>1</v>
      </c>
      <c r="AD649" s="42">
        <v>1</v>
      </c>
      <c r="AE649" s="42">
        <v>26448.05</v>
      </c>
    </row>
    <row r="650" spans="1:31" x14ac:dyDescent="0.2">
      <c r="A650" s="42" t="s">
        <v>917</v>
      </c>
      <c r="B650" s="42">
        <v>1</v>
      </c>
      <c r="C650" s="42" t="s">
        <v>456</v>
      </c>
      <c r="D650" s="42">
        <v>233</v>
      </c>
      <c r="E650" s="42" t="s">
        <v>452</v>
      </c>
      <c r="F650" s="42" t="s">
        <v>352</v>
      </c>
      <c r="G650" s="42">
        <v>10458</v>
      </c>
      <c r="H650" s="42" t="s">
        <v>353</v>
      </c>
      <c r="I650" s="42">
        <v>711.92</v>
      </c>
      <c r="J650" s="42">
        <v>711.92</v>
      </c>
      <c r="K650" s="42" t="b">
        <v>0</v>
      </c>
      <c r="L650" s="42">
        <v>5</v>
      </c>
      <c r="M650" s="42" t="s">
        <v>108</v>
      </c>
      <c r="N650" s="42">
        <v>29</v>
      </c>
      <c r="O650" s="42" t="s">
        <v>142</v>
      </c>
      <c r="P650" s="42">
        <v>3</v>
      </c>
      <c r="Q650" s="42" t="s">
        <v>325</v>
      </c>
      <c r="R650" s="42" t="s">
        <v>114</v>
      </c>
      <c r="U650" s="42" t="s">
        <v>121</v>
      </c>
      <c r="V650" s="42">
        <v>1</v>
      </c>
      <c r="W650" s="42" t="s">
        <v>116</v>
      </c>
      <c r="X650" s="42">
        <v>18</v>
      </c>
      <c r="Y650" s="42" t="s">
        <v>117</v>
      </c>
      <c r="Z650" s="42">
        <v>490.40199999999999</v>
      </c>
      <c r="AA650" s="42">
        <v>1.4517</v>
      </c>
      <c r="AB650" s="42" t="s">
        <v>36</v>
      </c>
      <c r="AC650" s="42">
        <v>1</v>
      </c>
      <c r="AD650" s="42">
        <v>1</v>
      </c>
      <c r="AE650" s="42">
        <v>711.92</v>
      </c>
    </row>
    <row r="651" spans="1:31" x14ac:dyDescent="0.2">
      <c r="A651" s="42" t="s">
        <v>917</v>
      </c>
      <c r="B651" s="42">
        <v>1</v>
      </c>
      <c r="C651" s="42" t="s">
        <v>456</v>
      </c>
      <c r="D651" s="42">
        <v>233</v>
      </c>
      <c r="E651" s="42" t="s">
        <v>452</v>
      </c>
      <c r="F651" s="42" t="s">
        <v>354</v>
      </c>
      <c r="G651" s="42">
        <v>10459</v>
      </c>
      <c r="H651" s="42" t="s">
        <v>355</v>
      </c>
      <c r="I651" s="42">
        <v>510.1</v>
      </c>
      <c r="J651" s="42">
        <v>510.42</v>
      </c>
      <c r="K651" s="42" t="b">
        <v>1</v>
      </c>
      <c r="L651" s="42">
        <v>5</v>
      </c>
      <c r="M651" s="42" t="s">
        <v>108</v>
      </c>
      <c r="N651" s="42">
        <v>6</v>
      </c>
      <c r="O651" s="42" t="s">
        <v>303</v>
      </c>
      <c r="P651" s="42">
        <v>183</v>
      </c>
      <c r="Q651" s="42" t="s">
        <v>242</v>
      </c>
      <c r="R651" s="42" t="s">
        <v>243</v>
      </c>
      <c r="S651" s="42">
        <v>1</v>
      </c>
      <c r="T651" s="42" t="s">
        <v>205</v>
      </c>
      <c r="U651" s="42" t="s">
        <v>115</v>
      </c>
      <c r="V651" s="42">
        <v>1</v>
      </c>
      <c r="W651" s="42" t="s">
        <v>116</v>
      </c>
      <c r="X651" s="42">
        <v>22</v>
      </c>
      <c r="Y651" s="42" t="s">
        <v>217</v>
      </c>
      <c r="Z651" s="42">
        <v>12</v>
      </c>
      <c r="AA651" s="42">
        <v>48.83</v>
      </c>
      <c r="AB651" s="42" t="s">
        <v>34</v>
      </c>
      <c r="AC651" s="42">
        <v>1.1479999999999999</v>
      </c>
      <c r="AD651" s="42">
        <v>1</v>
      </c>
      <c r="AE651" s="42">
        <v>510.42</v>
      </c>
    </row>
    <row r="652" spans="1:31" x14ac:dyDescent="0.2">
      <c r="A652" s="42" t="s">
        <v>917</v>
      </c>
      <c r="B652" s="42">
        <v>1</v>
      </c>
      <c r="C652" s="42" t="s">
        <v>456</v>
      </c>
      <c r="D652" s="42">
        <v>233</v>
      </c>
      <c r="E652" s="42" t="s">
        <v>452</v>
      </c>
      <c r="F652" s="42" t="s">
        <v>905</v>
      </c>
      <c r="G652" s="42">
        <v>10465</v>
      </c>
      <c r="H652" s="42" t="s">
        <v>906</v>
      </c>
      <c r="I652" s="42">
        <v>2074.6799999999998</v>
      </c>
      <c r="J652" s="42">
        <v>2074.6799999999998</v>
      </c>
      <c r="K652" s="42" t="b">
        <v>0</v>
      </c>
      <c r="L652" s="42">
        <v>5</v>
      </c>
      <c r="M652" s="42" t="s">
        <v>108</v>
      </c>
      <c r="N652" s="42">
        <v>1</v>
      </c>
      <c r="O652" s="42" t="s">
        <v>112</v>
      </c>
      <c r="P652" s="42">
        <v>51</v>
      </c>
      <c r="Q652" s="42" t="s">
        <v>112</v>
      </c>
      <c r="R652" s="42" t="s">
        <v>114</v>
      </c>
      <c r="U652" s="42" t="s">
        <v>121</v>
      </c>
      <c r="V652" s="42">
        <v>1</v>
      </c>
      <c r="W652" s="42" t="s">
        <v>116</v>
      </c>
      <c r="X652" s="42">
        <v>18</v>
      </c>
      <c r="Y652" s="42" t="s">
        <v>117</v>
      </c>
      <c r="Z652" s="42">
        <v>1234.1220000000001</v>
      </c>
      <c r="AA652" s="42">
        <v>1.6811</v>
      </c>
      <c r="AB652" s="42" t="s">
        <v>36</v>
      </c>
      <c r="AC652" s="42">
        <v>1</v>
      </c>
      <c r="AD652" s="42">
        <v>1</v>
      </c>
      <c r="AE652" s="42">
        <v>2074.6799999999998</v>
      </c>
    </row>
    <row r="653" spans="1:31" x14ac:dyDescent="0.2">
      <c r="A653" s="42" t="s">
        <v>917</v>
      </c>
      <c r="B653" s="42">
        <v>1</v>
      </c>
      <c r="C653" s="42" t="s">
        <v>456</v>
      </c>
      <c r="D653" s="42">
        <v>233</v>
      </c>
      <c r="E653" s="42" t="s">
        <v>452</v>
      </c>
      <c r="F653" s="42" t="s">
        <v>356</v>
      </c>
      <c r="G653" s="42">
        <v>10481</v>
      </c>
      <c r="H653" s="42" t="s">
        <v>357</v>
      </c>
      <c r="I653" s="42">
        <v>20552.310000000001</v>
      </c>
      <c r="J653" s="42">
        <v>20552.310000000001</v>
      </c>
      <c r="K653" s="42" t="b">
        <v>0</v>
      </c>
      <c r="L653" s="42">
        <v>5</v>
      </c>
      <c r="M653" s="42" t="s">
        <v>108</v>
      </c>
      <c r="N653" s="42">
        <v>1</v>
      </c>
      <c r="O653" s="42" t="s">
        <v>112</v>
      </c>
      <c r="P653" s="42">
        <v>51</v>
      </c>
      <c r="Q653" s="42" t="s">
        <v>112</v>
      </c>
      <c r="R653" s="42" t="s">
        <v>114</v>
      </c>
      <c r="U653" s="42" t="s">
        <v>121</v>
      </c>
      <c r="V653" s="42">
        <v>1</v>
      </c>
      <c r="W653" s="42" t="s">
        <v>116</v>
      </c>
      <c r="X653" s="42">
        <v>18</v>
      </c>
      <c r="Y653" s="42" t="s">
        <v>117</v>
      </c>
      <c r="Z653" s="42">
        <v>27128.187000000002</v>
      </c>
      <c r="AA653" s="42">
        <v>0.75760000000000005</v>
      </c>
      <c r="AB653" s="42" t="s">
        <v>36</v>
      </c>
      <c r="AC653" s="42">
        <v>1</v>
      </c>
      <c r="AD653" s="42">
        <v>1</v>
      </c>
      <c r="AE653" s="42">
        <v>20552.310000000001</v>
      </c>
    </row>
    <row r="654" spans="1:31" x14ac:dyDescent="0.2">
      <c r="A654" s="42" t="s">
        <v>917</v>
      </c>
      <c r="B654" s="42">
        <v>1</v>
      </c>
      <c r="C654" s="42" t="s">
        <v>456</v>
      </c>
      <c r="D654" s="42">
        <v>233</v>
      </c>
      <c r="E654" s="42" t="s">
        <v>452</v>
      </c>
      <c r="F654" s="42" t="s">
        <v>358</v>
      </c>
      <c r="G654" s="42">
        <v>10495</v>
      </c>
      <c r="H654" s="42" t="s">
        <v>359</v>
      </c>
      <c r="I654" s="42">
        <v>32315.88</v>
      </c>
      <c r="J654" s="42">
        <v>32315.88</v>
      </c>
      <c r="K654" s="42" t="b">
        <v>0</v>
      </c>
      <c r="L654" s="42">
        <v>5</v>
      </c>
      <c r="M654" s="42" t="s">
        <v>108</v>
      </c>
      <c r="N654" s="42">
        <v>1</v>
      </c>
      <c r="O654" s="42" t="s">
        <v>112</v>
      </c>
      <c r="P654" s="42">
        <v>107</v>
      </c>
      <c r="Q654" s="42" t="s">
        <v>289</v>
      </c>
      <c r="R654" s="42" t="s">
        <v>114</v>
      </c>
      <c r="U654" s="42" t="s">
        <v>115</v>
      </c>
      <c r="V654" s="42">
        <v>1</v>
      </c>
      <c r="W654" s="42" t="s">
        <v>116</v>
      </c>
      <c r="X654" s="42">
        <v>18</v>
      </c>
      <c r="Y654" s="42" t="s">
        <v>117</v>
      </c>
      <c r="Z654" s="42">
        <v>230.95189999999999</v>
      </c>
      <c r="AA654" s="42">
        <v>139.9247</v>
      </c>
      <c r="AB654" s="42" t="s">
        <v>36</v>
      </c>
      <c r="AC654" s="42">
        <v>1</v>
      </c>
      <c r="AD654" s="42">
        <v>1</v>
      </c>
      <c r="AE654" s="42">
        <v>32315.88</v>
      </c>
    </row>
    <row r="655" spans="1:31" x14ac:dyDescent="0.2">
      <c r="A655" s="42" t="s">
        <v>917</v>
      </c>
      <c r="B655" s="42">
        <v>1</v>
      </c>
      <c r="C655" s="42" t="s">
        <v>456</v>
      </c>
      <c r="D655" s="42">
        <v>233</v>
      </c>
      <c r="E655" s="42" t="s">
        <v>452</v>
      </c>
      <c r="F655" s="42" t="s">
        <v>360</v>
      </c>
      <c r="G655" s="42">
        <v>10547</v>
      </c>
      <c r="H655" s="42" t="s">
        <v>361</v>
      </c>
      <c r="I655" s="42">
        <v>20788.48</v>
      </c>
      <c r="J655" s="42">
        <v>20788.48</v>
      </c>
      <c r="K655" s="42" t="b">
        <v>0</v>
      </c>
      <c r="L655" s="42">
        <v>5</v>
      </c>
      <c r="M655" s="42" t="s">
        <v>108</v>
      </c>
      <c r="N655" s="42">
        <v>26</v>
      </c>
      <c r="O655" s="42" t="s">
        <v>139</v>
      </c>
      <c r="P655" s="42">
        <v>10</v>
      </c>
      <c r="Q655" s="42" t="s">
        <v>129</v>
      </c>
      <c r="R655" s="42" t="s">
        <v>114</v>
      </c>
      <c r="U655" s="42" t="s">
        <v>212</v>
      </c>
      <c r="V655" s="42">
        <v>1</v>
      </c>
      <c r="W655" s="42" t="s">
        <v>116</v>
      </c>
      <c r="X655" s="42">
        <v>18</v>
      </c>
      <c r="Y655" s="42" t="s">
        <v>117</v>
      </c>
      <c r="Z655" s="42">
        <v>917.00400000000002</v>
      </c>
      <c r="AA655" s="42">
        <v>22.67</v>
      </c>
      <c r="AB655" s="42" t="s">
        <v>36</v>
      </c>
      <c r="AC655" s="42">
        <v>1</v>
      </c>
      <c r="AD655" s="42">
        <v>1</v>
      </c>
      <c r="AE655" s="42">
        <v>20788.48</v>
      </c>
    </row>
    <row r="656" spans="1:31" x14ac:dyDescent="0.2">
      <c r="A656" s="42" t="s">
        <v>917</v>
      </c>
      <c r="B656" s="42">
        <v>1</v>
      </c>
      <c r="C656" s="42" t="s">
        <v>456</v>
      </c>
      <c r="D656" s="42">
        <v>233</v>
      </c>
      <c r="E656" s="42" t="s">
        <v>452</v>
      </c>
      <c r="F656" s="42" t="s">
        <v>462</v>
      </c>
      <c r="G656" s="42">
        <v>11996</v>
      </c>
      <c r="H656" s="42" t="s">
        <v>463</v>
      </c>
      <c r="I656" s="42">
        <v>36038.71</v>
      </c>
      <c r="J656" s="42">
        <v>36038.71</v>
      </c>
      <c r="K656" s="42" t="b">
        <v>0</v>
      </c>
      <c r="L656" s="42">
        <v>4</v>
      </c>
      <c r="M656" s="42" t="s">
        <v>128</v>
      </c>
      <c r="N656" s="42">
        <v>2</v>
      </c>
      <c r="O656" s="42" t="s">
        <v>122</v>
      </c>
      <c r="P656" s="42">
        <v>27</v>
      </c>
      <c r="Q656" s="42" t="s">
        <v>113</v>
      </c>
      <c r="R656" s="42" t="s">
        <v>114</v>
      </c>
      <c r="U656" s="42" t="s">
        <v>121</v>
      </c>
      <c r="V656" s="42">
        <v>1</v>
      </c>
      <c r="W656" s="42" t="s">
        <v>116</v>
      </c>
      <c r="X656" s="42">
        <v>18</v>
      </c>
      <c r="Y656" s="42" t="s">
        <v>117</v>
      </c>
      <c r="Z656" s="42">
        <v>33608.794999999998</v>
      </c>
      <c r="AA656" s="42">
        <v>1.0723</v>
      </c>
      <c r="AB656" s="42" t="s">
        <v>36</v>
      </c>
      <c r="AC656" s="42">
        <v>1</v>
      </c>
      <c r="AD656" s="42">
        <v>1</v>
      </c>
      <c r="AE656" s="42">
        <v>36038.71</v>
      </c>
    </row>
    <row r="657" spans="1:31" x14ac:dyDescent="0.2">
      <c r="A657" s="42" t="s">
        <v>917</v>
      </c>
      <c r="B657" s="42">
        <v>1</v>
      </c>
      <c r="C657" s="42" t="s">
        <v>456</v>
      </c>
      <c r="D657" s="42">
        <v>233</v>
      </c>
      <c r="E657" s="42" t="s">
        <v>452</v>
      </c>
      <c r="F657" s="42" t="s">
        <v>907</v>
      </c>
      <c r="G657" s="42">
        <v>12089</v>
      </c>
      <c r="H657" s="42" t="s">
        <v>908</v>
      </c>
      <c r="I657" s="42">
        <v>309.20999999999998</v>
      </c>
      <c r="J657" s="42">
        <v>309.20999999999998</v>
      </c>
      <c r="K657" s="42" t="b">
        <v>0</v>
      </c>
      <c r="L657" s="42">
        <v>5</v>
      </c>
      <c r="M657" s="42" t="s">
        <v>108</v>
      </c>
      <c r="N657" s="42">
        <v>4</v>
      </c>
      <c r="O657" s="42" t="s">
        <v>109</v>
      </c>
      <c r="P657" s="42">
        <v>6</v>
      </c>
      <c r="Q657" s="42" t="s">
        <v>109</v>
      </c>
      <c r="R657" s="42" t="s">
        <v>114</v>
      </c>
      <c r="U657" s="42" t="s">
        <v>115</v>
      </c>
      <c r="V657" s="42">
        <v>1</v>
      </c>
      <c r="W657" s="42" t="s">
        <v>116</v>
      </c>
      <c r="X657" s="42">
        <v>18</v>
      </c>
      <c r="Y657" s="42" t="s">
        <v>117</v>
      </c>
      <c r="Z657" s="42">
        <v>23.622</v>
      </c>
      <c r="AA657" s="42">
        <v>13.09</v>
      </c>
      <c r="AB657" s="42" t="s">
        <v>36</v>
      </c>
      <c r="AC657" s="42">
        <v>1</v>
      </c>
      <c r="AD657" s="42">
        <v>1</v>
      </c>
      <c r="AE657" s="42">
        <v>309.20999999999998</v>
      </c>
    </row>
    <row r="658" spans="1:31" x14ac:dyDescent="0.2">
      <c r="A658" s="42" t="s">
        <v>917</v>
      </c>
      <c r="B658" s="42">
        <v>1</v>
      </c>
      <c r="C658" s="42" t="s">
        <v>456</v>
      </c>
      <c r="D658" s="42">
        <v>233</v>
      </c>
      <c r="E658" s="42" t="s">
        <v>452</v>
      </c>
      <c r="F658" s="42" t="s">
        <v>909</v>
      </c>
      <c r="G658" s="42">
        <v>12090</v>
      </c>
      <c r="H658" s="42" t="s">
        <v>910</v>
      </c>
      <c r="I658" s="42">
        <v>19657.599999999999</v>
      </c>
      <c r="J658" s="42">
        <v>19657.599999999999</v>
      </c>
      <c r="K658" s="42" t="b">
        <v>0</v>
      </c>
      <c r="L658" s="42">
        <v>5</v>
      </c>
      <c r="M658" s="42" t="s">
        <v>108</v>
      </c>
      <c r="N658" s="42">
        <v>2</v>
      </c>
      <c r="O658" s="42" t="s">
        <v>122</v>
      </c>
      <c r="P658" s="42">
        <v>1</v>
      </c>
      <c r="Q658" s="42" t="s">
        <v>326</v>
      </c>
      <c r="R658" s="42" t="s">
        <v>114</v>
      </c>
      <c r="U658" s="42" t="s">
        <v>121</v>
      </c>
      <c r="V658" s="42">
        <v>1</v>
      </c>
      <c r="W658" s="42" t="s">
        <v>116</v>
      </c>
      <c r="X658" s="42">
        <v>18</v>
      </c>
      <c r="Y658" s="42" t="s">
        <v>117</v>
      </c>
      <c r="Z658" s="42">
        <v>2960.08</v>
      </c>
      <c r="AA658" s="42">
        <v>6.6409000000000002</v>
      </c>
      <c r="AB658" s="42" t="s">
        <v>36</v>
      </c>
      <c r="AC658" s="42">
        <v>1</v>
      </c>
      <c r="AD658" s="42">
        <v>1</v>
      </c>
      <c r="AE658" s="42">
        <v>19657.599999999999</v>
      </c>
    </row>
    <row r="659" spans="1:31" x14ac:dyDescent="0.2">
      <c r="A659" s="42" t="s">
        <v>917</v>
      </c>
      <c r="B659" s="42">
        <v>1</v>
      </c>
      <c r="C659" s="42" t="s">
        <v>456</v>
      </c>
      <c r="D659" s="42">
        <v>233</v>
      </c>
      <c r="E659" s="42" t="s">
        <v>452</v>
      </c>
      <c r="F659" s="42" t="s">
        <v>911</v>
      </c>
      <c r="G659" s="42">
        <v>12091</v>
      </c>
      <c r="H659" s="42" t="s">
        <v>912</v>
      </c>
      <c r="I659" s="42">
        <v>9759.23</v>
      </c>
      <c r="J659" s="42">
        <v>9759.23</v>
      </c>
      <c r="K659" s="42" t="b">
        <v>0</v>
      </c>
      <c r="L659" s="42">
        <v>11</v>
      </c>
      <c r="M659" s="42" t="s">
        <v>238</v>
      </c>
      <c r="N659" s="42">
        <v>1</v>
      </c>
      <c r="O659" s="42" t="s">
        <v>112</v>
      </c>
      <c r="P659" s="42">
        <v>63</v>
      </c>
      <c r="Q659" s="42" t="s">
        <v>324</v>
      </c>
      <c r="R659" s="42" t="s">
        <v>114</v>
      </c>
      <c r="U659" s="42" t="s">
        <v>121</v>
      </c>
      <c r="V659" s="42">
        <v>1</v>
      </c>
      <c r="W659" s="42" t="s">
        <v>116</v>
      </c>
      <c r="X659" s="42">
        <v>18</v>
      </c>
      <c r="Y659" s="42" t="s">
        <v>117</v>
      </c>
      <c r="Z659" s="42">
        <v>3848.2752</v>
      </c>
      <c r="AA659" s="42">
        <v>2.536</v>
      </c>
      <c r="AB659" s="42" t="s">
        <v>36</v>
      </c>
      <c r="AC659" s="42">
        <v>1</v>
      </c>
      <c r="AD659" s="42">
        <v>1</v>
      </c>
      <c r="AE659" s="42">
        <v>9759.23</v>
      </c>
    </row>
    <row r="660" spans="1:31" x14ac:dyDescent="0.2">
      <c r="A660" s="42" t="s">
        <v>917</v>
      </c>
      <c r="B660" s="42">
        <v>1</v>
      </c>
      <c r="C660" s="42" t="s">
        <v>456</v>
      </c>
      <c r="D660" s="42">
        <v>233</v>
      </c>
      <c r="E660" s="42" t="s">
        <v>452</v>
      </c>
      <c r="F660" s="42" t="s">
        <v>464</v>
      </c>
      <c r="G660" s="42">
        <v>12111</v>
      </c>
      <c r="H660" s="42" t="s">
        <v>465</v>
      </c>
      <c r="I660" s="42">
        <v>11400.13</v>
      </c>
      <c r="J660" s="42">
        <v>11400.13</v>
      </c>
      <c r="K660" s="42" t="b">
        <v>0</v>
      </c>
      <c r="L660" s="42">
        <v>5</v>
      </c>
      <c r="M660" s="42" t="s">
        <v>108</v>
      </c>
      <c r="N660" s="42">
        <v>1</v>
      </c>
      <c r="O660" s="42" t="s">
        <v>112</v>
      </c>
      <c r="P660" s="42">
        <v>180</v>
      </c>
      <c r="Q660" s="42" t="s">
        <v>214</v>
      </c>
      <c r="R660" s="42" t="s">
        <v>114</v>
      </c>
      <c r="U660" s="42" t="s">
        <v>121</v>
      </c>
      <c r="V660" s="42">
        <v>1</v>
      </c>
      <c r="W660" s="42" t="s">
        <v>116</v>
      </c>
      <c r="X660" s="42">
        <v>18</v>
      </c>
      <c r="Y660" s="42" t="s">
        <v>117</v>
      </c>
      <c r="Z660" s="42">
        <v>1789.94</v>
      </c>
      <c r="AA660" s="42">
        <v>6.3689999999999998</v>
      </c>
      <c r="AB660" s="42" t="s">
        <v>36</v>
      </c>
      <c r="AC660" s="42">
        <v>1</v>
      </c>
      <c r="AD660" s="42">
        <v>1</v>
      </c>
      <c r="AE660" s="42">
        <v>11400.13</v>
      </c>
    </row>
    <row r="661" spans="1:31" x14ac:dyDescent="0.2">
      <c r="A661" s="42" t="s">
        <v>917</v>
      </c>
      <c r="B661" s="42">
        <v>1</v>
      </c>
      <c r="C661" s="42" t="s">
        <v>458</v>
      </c>
      <c r="D661" s="42">
        <v>234</v>
      </c>
      <c r="E661" s="42" t="s">
        <v>453</v>
      </c>
      <c r="F661" s="42" t="s">
        <v>126</v>
      </c>
      <c r="G661" s="42">
        <v>2534</v>
      </c>
      <c r="H661" s="42" t="s">
        <v>127</v>
      </c>
      <c r="I661" s="42">
        <v>3382.41</v>
      </c>
      <c r="J661" s="42">
        <v>3382.41</v>
      </c>
      <c r="K661" s="42" t="b">
        <v>0</v>
      </c>
      <c r="L661" s="42">
        <v>4</v>
      </c>
      <c r="M661" s="42" t="s">
        <v>128</v>
      </c>
      <c r="N661" s="42">
        <v>2</v>
      </c>
      <c r="O661" s="42" t="s">
        <v>122</v>
      </c>
      <c r="P661" s="42">
        <v>14</v>
      </c>
      <c r="Q661" s="42" t="s">
        <v>323</v>
      </c>
      <c r="R661" s="42" t="s">
        <v>114</v>
      </c>
      <c r="U661" s="42" t="s">
        <v>115</v>
      </c>
      <c r="V661" s="42">
        <v>1</v>
      </c>
      <c r="W661" s="42" t="s">
        <v>116</v>
      </c>
      <c r="X661" s="42">
        <v>18</v>
      </c>
      <c r="Y661" s="42" t="s">
        <v>117</v>
      </c>
      <c r="Z661" s="42">
        <v>30.78</v>
      </c>
      <c r="AA661" s="42">
        <v>109.8899</v>
      </c>
      <c r="AB661" s="42" t="s">
        <v>36</v>
      </c>
      <c r="AC661" s="42">
        <v>1</v>
      </c>
      <c r="AD661" s="42">
        <v>1</v>
      </c>
      <c r="AE661" s="42">
        <v>3382.41</v>
      </c>
    </row>
    <row r="662" spans="1:31" x14ac:dyDescent="0.2">
      <c r="A662" s="42" t="s">
        <v>917</v>
      </c>
      <c r="B662" s="42">
        <v>1</v>
      </c>
      <c r="C662" s="42" t="s">
        <v>458</v>
      </c>
      <c r="D662" s="42">
        <v>234</v>
      </c>
      <c r="E662" s="42" t="s">
        <v>453</v>
      </c>
      <c r="F662" s="42" t="s">
        <v>901</v>
      </c>
      <c r="G662" s="42">
        <v>2535</v>
      </c>
      <c r="H662" s="42" t="s">
        <v>902</v>
      </c>
      <c r="I662" s="42">
        <v>3117.24</v>
      </c>
      <c r="J662" s="42">
        <v>3117.24</v>
      </c>
      <c r="K662" s="42" t="b">
        <v>0</v>
      </c>
      <c r="L662" s="42">
        <v>4</v>
      </c>
      <c r="M662" s="42" t="s">
        <v>128</v>
      </c>
      <c r="N662" s="42">
        <v>2</v>
      </c>
      <c r="O662" s="42" t="s">
        <v>122</v>
      </c>
      <c r="P662" s="42">
        <v>210</v>
      </c>
      <c r="Q662" s="42" t="s">
        <v>834</v>
      </c>
      <c r="R662" s="42" t="s">
        <v>114</v>
      </c>
      <c r="U662" s="42" t="s">
        <v>121</v>
      </c>
      <c r="V662" s="42">
        <v>1</v>
      </c>
      <c r="W662" s="42" t="s">
        <v>116</v>
      </c>
      <c r="X662" s="42">
        <v>18</v>
      </c>
      <c r="Y662" s="42" t="s">
        <v>117</v>
      </c>
      <c r="Z662" s="42">
        <v>2497.7910000000002</v>
      </c>
      <c r="AA662" s="42">
        <v>1.248</v>
      </c>
      <c r="AB662" s="42" t="s">
        <v>36</v>
      </c>
      <c r="AC662" s="42">
        <v>1</v>
      </c>
      <c r="AD662" s="42">
        <v>1</v>
      </c>
      <c r="AE662" s="42">
        <v>3117.24</v>
      </c>
    </row>
    <row r="663" spans="1:31" x14ac:dyDescent="0.2">
      <c r="A663" s="42" t="s">
        <v>917</v>
      </c>
      <c r="B663" s="42">
        <v>1</v>
      </c>
      <c r="C663" s="42" t="s">
        <v>458</v>
      </c>
      <c r="D663" s="42">
        <v>234</v>
      </c>
      <c r="E663" s="42" t="s">
        <v>453</v>
      </c>
      <c r="F663" s="42" t="s">
        <v>195</v>
      </c>
      <c r="G663" s="42">
        <v>2859</v>
      </c>
      <c r="H663" s="42" t="s">
        <v>280</v>
      </c>
      <c r="I663" s="42">
        <v>6277.96</v>
      </c>
      <c r="J663" s="42">
        <v>6277.96</v>
      </c>
      <c r="K663" s="42" t="b">
        <v>0</v>
      </c>
      <c r="L663" s="42">
        <v>5</v>
      </c>
      <c r="M663" s="42" t="s">
        <v>108</v>
      </c>
      <c r="N663" s="42">
        <v>2</v>
      </c>
      <c r="O663" s="42" t="s">
        <v>122</v>
      </c>
      <c r="P663" s="42">
        <v>1</v>
      </c>
      <c r="Q663" s="42" t="s">
        <v>326</v>
      </c>
      <c r="R663" s="42" t="s">
        <v>114</v>
      </c>
      <c r="U663" s="42" t="s">
        <v>121</v>
      </c>
      <c r="V663" s="42">
        <v>1</v>
      </c>
      <c r="W663" s="42" t="s">
        <v>116</v>
      </c>
      <c r="X663" s="42">
        <v>18</v>
      </c>
      <c r="Y663" s="42" t="s">
        <v>117</v>
      </c>
      <c r="Z663" s="42">
        <v>2293.4859999999999</v>
      </c>
      <c r="AA663" s="42">
        <v>2.7372999999999998</v>
      </c>
      <c r="AB663" s="42" t="s">
        <v>36</v>
      </c>
      <c r="AC663" s="42">
        <v>1</v>
      </c>
      <c r="AD663" s="42">
        <v>1</v>
      </c>
      <c r="AE663" s="42">
        <v>6277.96</v>
      </c>
    </row>
    <row r="664" spans="1:31" x14ac:dyDescent="0.2">
      <c r="A664" s="42" t="s">
        <v>917</v>
      </c>
      <c r="B664" s="42">
        <v>1</v>
      </c>
      <c r="C664" s="42" t="s">
        <v>458</v>
      </c>
      <c r="D664" s="42">
        <v>234</v>
      </c>
      <c r="E664" s="42" t="s">
        <v>453</v>
      </c>
      <c r="F664" s="42" t="s">
        <v>225</v>
      </c>
      <c r="G664" s="42">
        <v>2916</v>
      </c>
      <c r="H664" s="42" t="s">
        <v>226</v>
      </c>
      <c r="I664" s="42">
        <v>5826.91</v>
      </c>
      <c r="J664" s="42">
        <v>5826.91</v>
      </c>
      <c r="K664" s="42" t="b">
        <v>0</v>
      </c>
      <c r="L664" s="42">
        <v>5</v>
      </c>
      <c r="M664" s="42" t="s">
        <v>108</v>
      </c>
      <c r="N664" s="42">
        <v>5</v>
      </c>
      <c r="O664" s="42" t="s">
        <v>143</v>
      </c>
      <c r="P664" s="42">
        <v>55</v>
      </c>
      <c r="Q664" s="42" t="s">
        <v>143</v>
      </c>
      <c r="R664" s="42" t="s">
        <v>114</v>
      </c>
      <c r="U664" s="42" t="s">
        <v>121</v>
      </c>
      <c r="V664" s="42">
        <v>1</v>
      </c>
      <c r="W664" s="42" t="s">
        <v>116</v>
      </c>
      <c r="X664" s="42">
        <v>18</v>
      </c>
      <c r="Y664" s="42" t="s">
        <v>117</v>
      </c>
      <c r="Z664" s="42">
        <v>7761.9660000000003</v>
      </c>
      <c r="AA664" s="42">
        <v>0.75070000000000003</v>
      </c>
      <c r="AB664" s="42" t="s">
        <v>36</v>
      </c>
      <c r="AC664" s="42">
        <v>1</v>
      </c>
      <c r="AD664" s="42">
        <v>1</v>
      </c>
      <c r="AE664" s="42">
        <v>5826.91</v>
      </c>
    </row>
    <row r="665" spans="1:31" x14ac:dyDescent="0.2">
      <c r="A665" s="42" t="s">
        <v>917</v>
      </c>
      <c r="B665" s="42">
        <v>1</v>
      </c>
      <c r="C665" s="42" t="s">
        <v>458</v>
      </c>
      <c r="D665" s="42">
        <v>234</v>
      </c>
      <c r="E665" s="42" t="s">
        <v>453</v>
      </c>
      <c r="F665" s="42" t="s">
        <v>196</v>
      </c>
      <c r="G665" s="42">
        <v>4652</v>
      </c>
      <c r="H665" s="42" t="s">
        <v>281</v>
      </c>
      <c r="I665" s="42">
        <v>15037.03</v>
      </c>
      <c r="J665" s="42">
        <v>15037.03</v>
      </c>
      <c r="K665" s="42" t="b">
        <v>0</v>
      </c>
      <c r="L665" s="42">
        <v>5</v>
      </c>
      <c r="M665" s="42" t="s">
        <v>108</v>
      </c>
      <c r="N665" s="42">
        <v>4</v>
      </c>
      <c r="O665" s="42" t="s">
        <v>109</v>
      </c>
      <c r="P665" s="42">
        <v>6</v>
      </c>
      <c r="Q665" s="42" t="s">
        <v>109</v>
      </c>
      <c r="R665" s="42" t="s">
        <v>114</v>
      </c>
      <c r="U665" s="42" t="s">
        <v>121</v>
      </c>
      <c r="V665" s="42">
        <v>1</v>
      </c>
      <c r="W665" s="42" t="s">
        <v>116</v>
      </c>
      <c r="X665" s="42">
        <v>18</v>
      </c>
      <c r="Y665" s="42" t="s">
        <v>117</v>
      </c>
      <c r="Z665" s="42">
        <v>2542.7440000000001</v>
      </c>
      <c r="AA665" s="42">
        <v>5.9137000000000004</v>
      </c>
      <c r="AB665" s="42" t="s">
        <v>36</v>
      </c>
      <c r="AC665" s="42">
        <v>1</v>
      </c>
      <c r="AD665" s="42">
        <v>1</v>
      </c>
      <c r="AE665" s="42">
        <v>15037.03</v>
      </c>
    </row>
    <row r="666" spans="1:31" x14ac:dyDescent="0.2">
      <c r="A666" s="42" t="s">
        <v>917</v>
      </c>
      <c r="B666" s="42">
        <v>1</v>
      </c>
      <c r="C666" s="42" t="s">
        <v>458</v>
      </c>
      <c r="D666" s="42">
        <v>234</v>
      </c>
      <c r="E666" s="42" t="s">
        <v>453</v>
      </c>
      <c r="F666" s="42" t="s">
        <v>267</v>
      </c>
      <c r="G666" s="42">
        <v>6962</v>
      </c>
      <c r="H666" s="42" t="s">
        <v>351</v>
      </c>
      <c r="I666" s="42">
        <v>17914.43</v>
      </c>
      <c r="J666" s="42">
        <v>17914.43</v>
      </c>
      <c r="K666" s="42" t="b">
        <v>0</v>
      </c>
      <c r="L666" s="42">
        <v>5</v>
      </c>
      <c r="M666" s="42" t="s">
        <v>108</v>
      </c>
      <c r="N666" s="42">
        <v>28</v>
      </c>
      <c r="O666" s="42" t="s">
        <v>120</v>
      </c>
      <c r="P666" s="42">
        <v>9</v>
      </c>
      <c r="Q666" s="42" t="s">
        <v>320</v>
      </c>
      <c r="R666" s="42" t="s">
        <v>114</v>
      </c>
      <c r="U666" s="42" t="s">
        <v>121</v>
      </c>
      <c r="V666" s="42">
        <v>1</v>
      </c>
      <c r="W666" s="42" t="s">
        <v>116</v>
      </c>
      <c r="X666" s="42">
        <v>18</v>
      </c>
      <c r="Y666" s="42" t="s">
        <v>117</v>
      </c>
      <c r="Z666" s="42">
        <v>7123.0349999999999</v>
      </c>
      <c r="AA666" s="42">
        <v>2.5150000000000001</v>
      </c>
      <c r="AB666" s="42" t="s">
        <v>36</v>
      </c>
      <c r="AC666" s="42">
        <v>1</v>
      </c>
      <c r="AD666" s="42">
        <v>1</v>
      </c>
      <c r="AE666" s="42">
        <v>17914.43</v>
      </c>
    </row>
    <row r="667" spans="1:31" x14ac:dyDescent="0.2">
      <c r="A667" s="42" t="s">
        <v>917</v>
      </c>
      <c r="B667" s="42">
        <v>1</v>
      </c>
      <c r="C667" s="42" t="s">
        <v>458</v>
      </c>
      <c r="D667" s="42">
        <v>234</v>
      </c>
      <c r="E667" s="42" t="s">
        <v>453</v>
      </c>
      <c r="F667" s="42" t="s">
        <v>903</v>
      </c>
      <c r="G667" s="42">
        <v>7045</v>
      </c>
      <c r="H667" s="42" t="s">
        <v>904</v>
      </c>
      <c r="I667" s="42">
        <v>11760.22</v>
      </c>
      <c r="J667" s="42">
        <v>11760.22</v>
      </c>
      <c r="K667" s="42" t="b">
        <v>0</v>
      </c>
      <c r="L667" s="42">
        <v>5</v>
      </c>
      <c r="M667" s="42" t="s">
        <v>108</v>
      </c>
      <c r="N667" s="42">
        <v>1</v>
      </c>
      <c r="O667" s="42" t="s">
        <v>112</v>
      </c>
      <c r="P667" s="42">
        <v>51</v>
      </c>
      <c r="Q667" s="42" t="s">
        <v>112</v>
      </c>
      <c r="R667" s="42" t="s">
        <v>114</v>
      </c>
      <c r="U667" s="42" t="s">
        <v>121</v>
      </c>
      <c r="V667" s="42">
        <v>1</v>
      </c>
      <c r="W667" s="42" t="s">
        <v>116</v>
      </c>
      <c r="X667" s="42">
        <v>18</v>
      </c>
      <c r="Y667" s="42" t="s">
        <v>117</v>
      </c>
      <c r="Z667" s="42">
        <v>7234.83</v>
      </c>
      <c r="AA667" s="42">
        <v>1.6254999999999999</v>
      </c>
      <c r="AB667" s="42" t="s">
        <v>36</v>
      </c>
      <c r="AC667" s="42">
        <v>1</v>
      </c>
      <c r="AD667" s="42">
        <v>1</v>
      </c>
      <c r="AE667" s="42">
        <v>11760.22</v>
      </c>
    </row>
    <row r="668" spans="1:31" x14ac:dyDescent="0.2">
      <c r="A668" s="42" t="s">
        <v>917</v>
      </c>
      <c r="B668" s="42">
        <v>1</v>
      </c>
      <c r="C668" s="42" t="s">
        <v>458</v>
      </c>
      <c r="D668" s="42">
        <v>234</v>
      </c>
      <c r="E668" s="42" t="s">
        <v>453</v>
      </c>
      <c r="F668" s="42" t="s">
        <v>352</v>
      </c>
      <c r="G668" s="42">
        <v>10458</v>
      </c>
      <c r="H668" s="42" t="s">
        <v>353</v>
      </c>
      <c r="I668" s="42">
        <v>711.92</v>
      </c>
      <c r="J668" s="42">
        <v>711.92</v>
      </c>
      <c r="K668" s="42" t="b">
        <v>0</v>
      </c>
      <c r="L668" s="42">
        <v>5</v>
      </c>
      <c r="M668" s="42" t="s">
        <v>108</v>
      </c>
      <c r="N668" s="42">
        <v>29</v>
      </c>
      <c r="O668" s="42" t="s">
        <v>142</v>
      </c>
      <c r="P668" s="42">
        <v>3</v>
      </c>
      <c r="Q668" s="42" t="s">
        <v>325</v>
      </c>
      <c r="R668" s="42" t="s">
        <v>114</v>
      </c>
      <c r="U668" s="42" t="s">
        <v>121</v>
      </c>
      <c r="V668" s="42">
        <v>1</v>
      </c>
      <c r="W668" s="42" t="s">
        <v>116</v>
      </c>
      <c r="X668" s="42">
        <v>18</v>
      </c>
      <c r="Y668" s="42" t="s">
        <v>117</v>
      </c>
      <c r="Z668" s="42">
        <v>490.40199999999999</v>
      </c>
      <c r="AA668" s="42">
        <v>1.4517</v>
      </c>
      <c r="AB668" s="42" t="s">
        <v>36</v>
      </c>
      <c r="AC668" s="42">
        <v>1</v>
      </c>
      <c r="AD668" s="42">
        <v>1</v>
      </c>
      <c r="AE668" s="42">
        <v>711.92</v>
      </c>
    </row>
    <row r="669" spans="1:31" x14ac:dyDescent="0.2">
      <c r="A669" s="42" t="s">
        <v>917</v>
      </c>
      <c r="B669" s="42">
        <v>1</v>
      </c>
      <c r="C669" s="42" t="s">
        <v>458</v>
      </c>
      <c r="D669" s="42">
        <v>234</v>
      </c>
      <c r="E669" s="42" t="s">
        <v>453</v>
      </c>
      <c r="F669" s="42" t="s">
        <v>354</v>
      </c>
      <c r="G669" s="42">
        <v>10459</v>
      </c>
      <c r="H669" s="42" t="s">
        <v>355</v>
      </c>
      <c r="I669" s="42">
        <v>595.12</v>
      </c>
      <c r="J669" s="42">
        <v>595.49</v>
      </c>
      <c r="K669" s="42" t="b">
        <v>1</v>
      </c>
      <c r="L669" s="42">
        <v>5</v>
      </c>
      <c r="M669" s="42" t="s">
        <v>108</v>
      </c>
      <c r="N669" s="42">
        <v>6</v>
      </c>
      <c r="O669" s="42" t="s">
        <v>303</v>
      </c>
      <c r="P669" s="42">
        <v>183</v>
      </c>
      <c r="Q669" s="42" t="s">
        <v>242</v>
      </c>
      <c r="R669" s="42" t="s">
        <v>243</v>
      </c>
      <c r="S669" s="42">
        <v>1</v>
      </c>
      <c r="T669" s="42" t="s">
        <v>205</v>
      </c>
      <c r="U669" s="42" t="s">
        <v>115</v>
      </c>
      <c r="V669" s="42">
        <v>1</v>
      </c>
      <c r="W669" s="42" t="s">
        <v>116</v>
      </c>
      <c r="X669" s="42">
        <v>22</v>
      </c>
      <c r="Y669" s="42" t="s">
        <v>217</v>
      </c>
      <c r="Z669" s="42">
        <v>14</v>
      </c>
      <c r="AA669" s="42">
        <v>48.83</v>
      </c>
      <c r="AB669" s="42" t="s">
        <v>34</v>
      </c>
      <c r="AC669" s="42">
        <v>1.1479999999999999</v>
      </c>
      <c r="AD669" s="42">
        <v>1</v>
      </c>
      <c r="AE669" s="42">
        <v>595.49</v>
      </c>
    </row>
    <row r="670" spans="1:31" x14ac:dyDescent="0.2">
      <c r="A670" s="42" t="s">
        <v>917</v>
      </c>
      <c r="B670" s="42">
        <v>1</v>
      </c>
      <c r="C670" s="42" t="s">
        <v>458</v>
      </c>
      <c r="D670" s="42">
        <v>234</v>
      </c>
      <c r="E670" s="42" t="s">
        <v>453</v>
      </c>
      <c r="F670" s="42" t="s">
        <v>905</v>
      </c>
      <c r="G670" s="42">
        <v>10465</v>
      </c>
      <c r="H670" s="42" t="s">
        <v>906</v>
      </c>
      <c r="I670" s="42">
        <v>11656.8</v>
      </c>
      <c r="J670" s="42">
        <v>11656.8</v>
      </c>
      <c r="K670" s="42" t="b">
        <v>0</v>
      </c>
      <c r="L670" s="42">
        <v>5</v>
      </c>
      <c r="M670" s="42" t="s">
        <v>108</v>
      </c>
      <c r="N670" s="42">
        <v>1</v>
      </c>
      <c r="O670" s="42" t="s">
        <v>112</v>
      </c>
      <c r="P670" s="42">
        <v>51</v>
      </c>
      <c r="Q670" s="42" t="s">
        <v>112</v>
      </c>
      <c r="R670" s="42" t="s">
        <v>114</v>
      </c>
      <c r="U670" s="42" t="s">
        <v>121</v>
      </c>
      <c r="V670" s="42">
        <v>1</v>
      </c>
      <c r="W670" s="42" t="s">
        <v>116</v>
      </c>
      <c r="X670" s="42">
        <v>18</v>
      </c>
      <c r="Y670" s="42" t="s">
        <v>117</v>
      </c>
      <c r="Z670" s="42">
        <v>6934.0309999999999</v>
      </c>
      <c r="AA670" s="42">
        <v>1.6811</v>
      </c>
      <c r="AB670" s="42" t="s">
        <v>36</v>
      </c>
      <c r="AC670" s="42">
        <v>1</v>
      </c>
      <c r="AD670" s="42">
        <v>1</v>
      </c>
      <c r="AE670" s="42">
        <v>11656.8</v>
      </c>
    </row>
    <row r="671" spans="1:31" x14ac:dyDescent="0.2">
      <c r="A671" s="42" t="s">
        <v>917</v>
      </c>
      <c r="B671" s="42">
        <v>1</v>
      </c>
      <c r="C671" s="42" t="s">
        <v>458</v>
      </c>
      <c r="D671" s="42">
        <v>234</v>
      </c>
      <c r="E671" s="42" t="s">
        <v>453</v>
      </c>
      <c r="F671" s="42" t="s">
        <v>356</v>
      </c>
      <c r="G671" s="42">
        <v>10481</v>
      </c>
      <c r="H671" s="42" t="s">
        <v>357</v>
      </c>
      <c r="I671" s="42">
        <v>5944.29</v>
      </c>
      <c r="J671" s="42">
        <v>5944.29</v>
      </c>
      <c r="K671" s="42" t="b">
        <v>0</v>
      </c>
      <c r="L671" s="42">
        <v>5</v>
      </c>
      <c r="M671" s="42" t="s">
        <v>108</v>
      </c>
      <c r="N671" s="42">
        <v>1</v>
      </c>
      <c r="O671" s="42" t="s">
        <v>112</v>
      </c>
      <c r="P671" s="42">
        <v>51</v>
      </c>
      <c r="Q671" s="42" t="s">
        <v>112</v>
      </c>
      <c r="R671" s="42" t="s">
        <v>114</v>
      </c>
      <c r="U671" s="42" t="s">
        <v>121</v>
      </c>
      <c r="V671" s="42">
        <v>1</v>
      </c>
      <c r="W671" s="42" t="s">
        <v>116</v>
      </c>
      <c r="X671" s="42">
        <v>18</v>
      </c>
      <c r="Y671" s="42" t="s">
        <v>117</v>
      </c>
      <c r="Z671" s="42">
        <v>7846.2139999999999</v>
      </c>
      <c r="AA671" s="42">
        <v>0.75760000000000005</v>
      </c>
      <c r="AB671" s="42" t="s">
        <v>36</v>
      </c>
      <c r="AC671" s="42">
        <v>1</v>
      </c>
      <c r="AD671" s="42">
        <v>1</v>
      </c>
      <c r="AE671" s="42">
        <v>5944.29</v>
      </c>
    </row>
    <row r="672" spans="1:31" x14ac:dyDescent="0.2">
      <c r="A672" s="42" t="s">
        <v>917</v>
      </c>
      <c r="B672" s="42">
        <v>1</v>
      </c>
      <c r="C672" s="42" t="s">
        <v>458</v>
      </c>
      <c r="D672" s="42">
        <v>234</v>
      </c>
      <c r="E672" s="42" t="s">
        <v>453</v>
      </c>
      <c r="F672" s="42" t="s">
        <v>358</v>
      </c>
      <c r="G672" s="42">
        <v>10495</v>
      </c>
      <c r="H672" s="42" t="s">
        <v>359</v>
      </c>
      <c r="I672" s="42">
        <v>10393.09</v>
      </c>
      <c r="J672" s="42">
        <v>10393.09</v>
      </c>
      <c r="K672" s="42" t="b">
        <v>0</v>
      </c>
      <c r="L672" s="42">
        <v>5</v>
      </c>
      <c r="M672" s="42" t="s">
        <v>108</v>
      </c>
      <c r="N672" s="42">
        <v>1</v>
      </c>
      <c r="O672" s="42" t="s">
        <v>112</v>
      </c>
      <c r="P672" s="42">
        <v>107</v>
      </c>
      <c r="Q672" s="42" t="s">
        <v>289</v>
      </c>
      <c r="R672" s="42" t="s">
        <v>114</v>
      </c>
      <c r="U672" s="42" t="s">
        <v>115</v>
      </c>
      <c r="V672" s="42">
        <v>1</v>
      </c>
      <c r="W672" s="42" t="s">
        <v>116</v>
      </c>
      <c r="X672" s="42">
        <v>18</v>
      </c>
      <c r="Y672" s="42" t="s">
        <v>117</v>
      </c>
      <c r="Z672" s="42">
        <v>74.276300000000006</v>
      </c>
      <c r="AA672" s="42">
        <v>139.9247</v>
      </c>
      <c r="AB672" s="42" t="s">
        <v>36</v>
      </c>
      <c r="AC672" s="42">
        <v>1</v>
      </c>
      <c r="AD672" s="42">
        <v>1</v>
      </c>
      <c r="AE672" s="42">
        <v>10393.09</v>
      </c>
    </row>
    <row r="673" spans="1:31" x14ac:dyDescent="0.2">
      <c r="A673" s="42" t="s">
        <v>917</v>
      </c>
      <c r="B673" s="42">
        <v>1</v>
      </c>
      <c r="C673" s="42" t="s">
        <v>458</v>
      </c>
      <c r="D673" s="42">
        <v>234</v>
      </c>
      <c r="E673" s="42" t="s">
        <v>453</v>
      </c>
      <c r="F673" s="42" t="s">
        <v>462</v>
      </c>
      <c r="G673" s="42">
        <v>11996</v>
      </c>
      <c r="H673" s="42" t="s">
        <v>463</v>
      </c>
      <c r="I673" s="42">
        <v>11152.02</v>
      </c>
      <c r="J673" s="42">
        <v>11152.02</v>
      </c>
      <c r="K673" s="42" t="b">
        <v>0</v>
      </c>
      <c r="L673" s="42">
        <v>4</v>
      </c>
      <c r="M673" s="42" t="s">
        <v>128</v>
      </c>
      <c r="N673" s="42">
        <v>2</v>
      </c>
      <c r="O673" s="42" t="s">
        <v>122</v>
      </c>
      <c r="P673" s="42">
        <v>27</v>
      </c>
      <c r="Q673" s="42" t="s">
        <v>113</v>
      </c>
      <c r="R673" s="42" t="s">
        <v>114</v>
      </c>
      <c r="U673" s="42" t="s">
        <v>121</v>
      </c>
      <c r="V673" s="42">
        <v>1</v>
      </c>
      <c r="W673" s="42" t="s">
        <v>116</v>
      </c>
      <c r="X673" s="42">
        <v>18</v>
      </c>
      <c r="Y673" s="42" t="s">
        <v>117</v>
      </c>
      <c r="Z673" s="42">
        <v>10400.0964</v>
      </c>
      <c r="AA673" s="42">
        <v>1.0723</v>
      </c>
      <c r="AB673" s="42" t="s">
        <v>36</v>
      </c>
      <c r="AC673" s="42">
        <v>1</v>
      </c>
      <c r="AD673" s="42">
        <v>1</v>
      </c>
      <c r="AE673" s="42">
        <v>11152.02</v>
      </c>
    </row>
    <row r="674" spans="1:31" x14ac:dyDescent="0.2">
      <c r="A674" s="42" t="s">
        <v>917</v>
      </c>
      <c r="B674" s="42">
        <v>1</v>
      </c>
      <c r="C674" s="42" t="s">
        <v>458</v>
      </c>
      <c r="D674" s="42">
        <v>234</v>
      </c>
      <c r="E674" s="42" t="s">
        <v>453</v>
      </c>
      <c r="F674" s="42" t="s">
        <v>907</v>
      </c>
      <c r="G674" s="42">
        <v>12089</v>
      </c>
      <c r="H674" s="42" t="s">
        <v>908</v>
      </c>
      <c r="I674" s="42">
        <v>941.72</v>
      </c>
      <c r="J674" s="42">
        <v>941.72</v>
      </c>
      <c r="K674" s="42" t="b">
        <v>0</v>
      </c>
      <c r="L674" s="42">
        <v>5</v>
      </c>
      <c r="M674" s="42" t="s">
        <v>108</v>
      </c>
      <c r="N674" s="42">
        <v>4</v>
      </c>
      <c r="O674" s="42" t="s">
        <v>109</v>
      </c>
      <c r="P674" s="42">
        <v>6</v>
      </c>
      <c r="Q674" s="42" t="s">
        <v>109</v>
      </c>
      <c r="R674" s="42" t="s">
        <v>114</v>
      </c>
      <c r="U674" s="42" t="s">
        <v>115</v>
      </c>
      <c r="V674" s="42">
        <v>1</v>
      </c>
      <c r="W674" s="42" t="s">
        <v>116</v>
      </c>
      <c r="X674" s="42">
        <v>18</v>
      </c>
      <c r="Y674" s="42" t="s">
        <v>117</v>
      </c>
      <c r="Z674" s="42">
        <v>71.941999999999993</v>
      </c>
      <c r="AA674" s="42">
        <v>13.09</v>
      </c>
      <c r="AB674" s="42" t="s">
        <v>36</v>
      </c>
      <c r="AC674" s="42">
        <v>1</v>
      </c>
      <c r="AD674" s="42">
        <v>1</v>
      </c>
      <c r="AE674" s="42">
        <v>941.72</v>
      </c>
    </row>
    <row r="675" spans="1:31" x14ac:dyDescent="0.2">
      <c r="A675" s="42" t="s">
        <v>917</v>
      </c>
      <c r="B675" s="42">
        <v>1</v>
      </c>
      <c r="C675" s="42" t="s">
        <v>458</v>
      </c>
      <c r="D675" s="42">
        <v>234</v>
      </c>
      <c r="E675" s="42" t="s">
        <v>453</v>
      </c>
      <c r="F675" s="42" t="s">
        <v>909</v>
      </c>
      <c r="G675" s="42">
        <v>12090</v>
      </c>
      <c r="H675" s="42" t="s">
        <v>910</v>
      </c>
      <c r="I675" s="42">
        <v>5360</v>
      </c>
      <c r="J675" s="42">
        <v>5360</v>
      </c>
      <c r="K675" s="42" t="b">
        <v>0</v>
      </c>
      <c r="L675" s="42">
        <v>5</v>
      </c>
      <c r="M675" s="42" t="s">
        <v>108</v>
      </c>
      <c r="N675" s="42">
        <v>2</v>
      </c>
      <c r="O675" s="42" t="s">
        <v>122</v>
      </c>
      <c r="P675" s="42">
        <v>1</v>
      </c>
      <c r="Q675" s="42" t="s">
        <v>326</v>
      </c>
      <c r="R675" s="42" t="s">
        <v>114</v>
      </c>
      <c r="U675" s="42" t="s">
        <v>121</v>
      </c>
      <c r="V675" s="42">
        <v>1</v>
      </c>
      <c r="W675" s="42" t="s">
        <v>116</v>
      </c>
      <c r="X675" s="42">
        <v>18</v>
      </c>
      <c r="Y675" s="42" t="s">
        <v>117</v>
      </c>
      <c r="Z675" s="42">
        <v>807.12</v>
      </c>
      <c r="AA675" s="42">
        <v>6.6409000000000002</v>
      </c>
      <c r="AB675" s="42" t="s">
        <v>36</v>
      </c>
      <c r="AC675" s="42">
        <v>1</v>
      </c>
      <c r="AD675" s="42">
        <v>1</v>
      </c>
      <c r="AE675" s="42">
        <v>5360</v>
      </c>
    </row>
    <row r="676" spans="1:31" x14ac:dyDescent="0.2">
      <c r="A676" s="42" t="s">
        <v>917</v>
      </c>
      <c r="B676" s="42">
        <v>1</v>
      </c>
      <c r="C676" s="42" t="s">
        <v>458</v>
      </c>
      <c r="D676" s="42">
        <v>234</v>
      </c>
      <c r="E676" s="42" t="s">
        <v>453</v>
      </c>
      <c r="F676" s="42" t="s">
        <v>911</v>
      </c>
      <c r="G676" s="42">
        <v>12091</v>
      </c>
      <c r="H676" s="42" t="s">
        <v>912</v>
      </c>
      <c r="I676" s="42">
        <v>1017.58</v>
      </c>
      <c r="J676" s="42">
        <v>1017.58</v>
      </c>
      <c r="K676" s="42" t="b">
        <v>0</v>
      </c>
      <c r="L676" s="42">
        <v>11</v>
      </c>
      <c r="M676" s="42" t="s">
        <v>238</v>
      </c>
      <c r="N676" s="42">
        <v>1</v>
      </c>
      <c r="O676" s="42" t="s">
        <v>112</v>
      </c>
      <c r="P676" s="42">
        <v>63</v>
      </c>
      <c r="Q676" s="42" t="s">
        <v>324</v>
      </c>
      <c r="R676" s="42" t="s">
        <v>114</v>
      </c>
      <c r="U676" s="42" t="s">
        <v>121</v>
      </c>
      <c r="V676" s="42">
        <v>1</v>
      </c>
      <c r="W676" s="42" t="s">
        <v>116</v>
      </c>
      <c r="X676" s="42">
        <v>18</v>
      </c>
      <c r="Y676" s="42" t="s">
        <v>117</v>
      </c>
      <c r="Z676" s="42">
        <v>401.25220000000002</v>
      </c>
      <c r="AA676" s="42">
        <v>2.536</v>
      </c>
      <c r="AB676" s="42" t="s">
        <v>36</v>
      </c>
      <c r="AC676" s="42">
        <v>1</v>
      </c>
      <c r="AD676" s="42">
        <v>1</v>
      </c>
      <c r="AE676" s="42">
        <v>1017.58</v>
      </c>
    </row>
    <row r="677" spans="1:31" x14ac:dyDescent="0.2">
      <c r="I677" s="42"/>
      <c r="J677" s="42"/>
      <c r="K677" s="42"/>
      <c r="Y677" s="42"/>
      <c r="Z677" s="42"/>
      <c r="AA677" s="42"/>
      <c r="AB677" s="42"/>
      <c r="AC677" s="42"/>
      <c r="AD677" s="42"/>
      <c r="AE677" s="42"/>
    </row>
    <row r="678" spans="1:31" x14ac:dyDescent="0.2">
      <c r="I678" s="42"/>
      <c r="J678" s="42"/>
      <c r="K678" s="42"/>
      <c r="Y678" s="42"/>
      <c r="Z678" s="42"/>
      <c r="AA678" s="42"/>
      <c r="AB678" s="42"/>
      <c r="AC678" s="42"/>
      <c r="AD678" s="42"/>
      <c r="AE678" s="42"/>
    </row>
    <row r="679" spans="1:31" x14ac:dyDescent="0.2">
      <c r="I679" s="42"/>
      <c r="J679" s="42"/>
      <c r="K679" s="42"/>
      <c r="Y679" s="42"/>
      <c r="Z679" s="42"/>
      <c r="AA679" s="42"/>
      <c r="AB679" s="42"/>
      <c r="AC679" s="42"/>
      <c r="AD679" s="42"/>
      <c r="AE679" s="42"/>
    </row>
    <row r="680" spans="1:31" x14ac:dyDescent="0.2">
      <c r="I680" s="42"/>
      <c r="J680" s="42"/>
      <c r="K680" s="42"/>
      <c r="Y680" s="42"/>
      <c r="Z680" s="42"/>
      <c r="AA680" s="42"/>
      <c r="AB680" s="42"/>
      <c r="AC680" s="42"/>
      <c r="AD680" s="42"/>
      <c r="AE680" s="42"/>
    </row>
    <row r="681" spans="1:31" x14ac:dyDescent="0.2">
      <c r="I681" s="42"/>
      <c r="J681" s="42"/>
      <c r="K681" s="42"/>
      <c r="Y681" s="42"/>
      <c r="Z681" s="42"/>
      <c r="AA681" s="42"/>
      <c r="AB681" s="42"/>
      <c r="AC681" s="42"/>
      <c r="AD681" s="42"/>
      <c r="AE681" s="42"/>
    </row>
    <row r="682" spans="1:31" x14ac:dyDescent="0.2">
      <c r="I682" s="42"/>
      <c r="J682" s="42"/>
      <c r="K682" s="42"/>
      <c r="Y682" s="42"/>
      <c r="Z682" s="42"/>
      <c r="AA682" s="42"/>
      <c r="AB682" s="42"/>
      <c r="AC682" s="42"/>
      <c r="AD682" s="42"/>
      <c r="AE682" s="42"/>
    </row>
    <row r="683" spans="1:31" x14ac:dyDescent="0.2">
      <c r="I683" s="42"/>
      <c r="J683" s="42"/>
      <c r="K683" s="42"/>
      <c r="Y683" s="42"/>
      <c r="Z683" s="42"/>
      <c r="AA683" s="42"/>
      <c r="AB683" s="42"/>
      <c r="AC683" s="42"/>
      <c r="AD683" s="42"/>
      <c r="AE683" s="42"/>
    </row>
    <row r="684" spans="1:31" x14ac:dyDescent="0.2">
      <c r="I684" s="42"/>
      <c r="J684" s="42"/>
      <c r="K684" s="42"/>
      <c r="Y684" s="42"/>
      <c r="Z684" s="42"/>
      <c r="AA684" s="42"/>
      <c r="AB684" s="42"/>
      <c r="AC684" s="42"/>
      <c r="AD684" s="42"/>
      <c r="AE684" s="42"/>
    </row>
    <row r="685" spans="1:31" x14ac:dyDescent="0.2">
      <c r="I685" s="42"/>
      <c r="J685" s="42"/>
      <c r="K685" s="42"/>
      <c r="Y685" s="42"/>
      <c r="Z685" s="42"/>
      <c r="AA685" s="42"/>
      <c r="AB685" s="42"/>
      <c r="AC685" s="42"/>
      <c r="AD685" s="42"/>
      <c r="AE685" s="42"/>
    </row>
    <row r="686" spans="1:31" x14ac:dyDescent="0.2">
      <c r="I686" s="42"/>
      <c r="J686" s="42"/>
      <c r="K686" s="42"/>
      <c r="Y686" s="42"/>
      <c r="Z686" s="42"/>
      <c r="AA686" s="42"/>
      <c r="AB686" s="42"/>
      <c r="AC686" s="42"/>
      <c r="AD686" s="42"/>
      <c r="AE686" s="42"/>
    </row>
    <row r="687" spans="1:31" x14ac:dyDescent="0.2">
      <c r="I687" s="42"/>
      <c r="J687" s="42"/>
      <c r="K687" s="42"/>
      <c r="Y687" s="42"/>
      <c r="Z687" s="42"/>
      <c r="AA687" s="42"/>
      <c r="AB687" s="42"/>
      <c r="AC687" s="42"/>
      <c r="AD687" s="42"/>
      <c r="AE687" s="42"/>
    </row>
    <row r="688" spans="1:31" x14ac:dyDescent="0.2">
      <c r="I688" s="42"/>
      <c r="J688" s="42"/>
      <c r="K688" s="42"/>
      <c r="Y688" s="42"/>
      <c r="Z688" s="42"/>
      <c r="AA688" s="42"/>
      <c r="AB688" s="42"/>
      <c r="AC688" s="42"/>
      <c r="AD688" s="42"/>
      <c r="AE688" s="42"/>
    </row>
    <row r="689" s="42" customFormat="1" x14ac:dyDescent="0.2"/>
    <row r="690" s="42" customFormat="1" x14ac:dyDescent="0.2"/>
    <row r="691" s="42" customFormat="1" x14ac:dyDescent="0.2"/>
    <row r="692" s="42" customFormat="1" x14ac:dyDescent="0.2"/>
    <row r="693" s="42" customFormat="1" x14ac:dyDescent="0.2"/>
    <row r="694" s="42" customFormat="1" x14ac:dyDescent="0.2"/>
    <row r="695" s="42" customFormat="1" x14ac:dyDescent="0.2"/>
    <row r="696" s="42" customFormat="1" x14ac:dyDescent="0.2"/>
    <row r="697" s="42" customFormat="1" x14ac:dyDescent="0.2"/>
    <row r="698" s="42" customFormat="1" x14ac:dyDescent="0.2"/>
    <row r="699" s="42" customFormat="1" x14ac:dyDescent="0.2"/>
    <row r="700" s="42" customFormat="1" x14ac:dyDescent="0.2"/>
    <row r="701" s="42" customFormat="1" x14ac:dyDescent="0.2"/>
    <row r="702" s="42" customFormat="1" x14ac:dyDescent="0.2"/>
    <row r="703" s="42" customFormat="1" x14ac:dyDescent="0.2"/>
    <row r="704" s="42" customFormat="1" x14ac:dyDescent="0.2"/>
    <row r="705" s="42" customFormat="1" x14ac:dyDescent="0.2"/>
    <row r="706" s="42" customFormat="1" x14ac:dyDescent="0.2"/>
    <row r="707" s="42" customFormat="1" x14ac:dyDescent="0.2"/>
    <row r="708" s="42" customFormat="1" x14ac:dyDescent="0.2"/>
    <row r="709" s="42" customFormat="1" x14ac:dyDescent="0.2"/>
    <row r="710" s="42" customFormat="1" x14ac:dyDescent="0.2"/>
    <row r="711" s="42" customFormat="1" x14ac:dyDescent="0.2"/>
    <row r="712" s="42" customFormat="1" x14ac:dyDescent="0.2"/>
    <row r="713" s="42" customFormat="1" x14ac:dyDescent="0.2"/>
    <row r="714" s="42" customFormat="1" x14ac:dyDescent="0.2"/>
    <row r="715" s="42" customFormat="1" x14ac:dyDescent="0.2"/>
    <row r="716" s="42" customFormat="1" x14ac:dyDescent="0.2"/>
    <row r="717" s="42" customFormat="1" x14ac:dyDescent="0.2"/>
    <row r="718" s="42" customFormat="1" x14ac:dyDescent="0.2"/>
    <row r="719" s="42" customFormat="1" x14ac:dyDescent="0.2"/>
    <row r="720" s="42" customFormat="1" x14ac:dyDescent="0.2"/>
    <row r="721" s="42" customFormat="1" x14ac:dyDescent="0.2"/>
    <row r="722" s="42" customFormat="1" x14ac:dyDescent="0.2"/>
    <row r="723" s="42" customFormat="1" x14ac:dyDescent="0.2"/>
    <row r="724" s="42" customFormat="1" x14ac:dyDescent="0.2"/>
    <row r="725" s="42" customFormat="1" x14ac:dyDescent="0.2"/>
    <row r="726" s="42" customFormat="1" x14ac:dyDescent="0.2"/>
    <row r="727" s="42" customFormat="1" x14ac:dyDescent="0.2"/>
    <row r="728" s="42" customFormat="1" x14ac:dyDescent="0.2"/>
    <row r="729" s="42" customFormat="1" x14ac:dyDescent="0.2"/>
    <row r="730" s="42" customFormat="1" x14ac:dyDescent="0.2"/>
    <row r="731" s="42" customFormat="1" x14ac:dyDescent="0.2"/>
    <row r="732" s="42" customFormat="1" x14ac:dyDescent="0.2"/>
    <row r="733" s="42" customFormat="1" x14ac:dyDescent="0.2"/>
    <row r="734" s="42" customFormat="1" x14ac:dyDescent="0.2"/>
    <row r="735" s="42" customFormat="1" x14ac:dyDescent="0.2"/>
    <row r="736" s="42" customFormat="1" x14ac:dyDescent="0.2"/>
    <row r="737" s="42" customFormat="1" x14ac:dyDescent="0.2"/>
    <row r="738" s="42" customFormat="1" x14ac:dyDescent="0.2"/>
    <row r="739" s="42" customFormat="1" x14ac:dyDescent="0.2"/>
    <row r="740" s="42" customFormat="1" x14ac:dyDescent="0.2"/>
    <row r="741" s="42" customFormat="1" x14ac:dyDescent="0.2"/>
    <row r="742" s="42" customFormat="1" x14ac:dyDescent="0.2"/>
    <row r="743" s="42" customFormat="1" x14ac:dyDescent="0.2"/>
    <row r="744" s="42" customFormat="1" x14ac:dyDescent="0.2"/>
    <row r="745" s="42" customFormat="1" x14ac:dyDescent="0.2"/>
    <row r="746" s="42" customFormat="1" x14ac:dyDescent="0.2"/>
    <row r="747" s="42" customFormat="1" x14ac:dyDescent="0.2"/>
    <row r="748" s="42" customFormat="1" x14ac:dyDescent="0.2"/>
    <row r="749" s="42" customFormat="1" x14ac:dyDescent="0.2"/>
    <row r="750" s="42" customFormat="1" x14ac:dyDescent="0.2"/>
    <row r="751" s="42" customFormat="1" x14ac:dyDescent="0.2"/>
    <row r="752" s="42" customFormat="1" x14ac:dyDescent="0.2"/>
    <row r="753" s="42" customFormat="1" x14ac:dyDescent="0.2"/>
    <row r="754" s="42" customFormat="1" x14ac:dyDescent="0.2"/>
    <row r="755" s="42" customFormat="1" x14ac:dyDescent="0.2"/>
    <row r="756" s="42" customFormat="1" x14ac:dyDescent="0.2"/>
    <row r="757" s="42" customFormat="1" x14ac:dyDescent="0.2"/>
    <row r="758" s="42" customFormat="1" x14ac:dyDescent="0.2"/>
    <row r="759" s="42" customFormat="1" x14ac:dyDescent="0.2"/>
    <row r="760" s="42" customFormat="1" x14ac:dyDescent="0.2"/>
    <row r="761" s="42" customFormat="1" x14ac:dyDescent="0.2"/>
    <row r="762" s="42" customFormat="1" x14ac:dyDescent="0.2"/>
    <row r="763" s="42" customFormat="1" x14ac:dyDescent="0.2"/>
    <row r="764" s="42" customFormat="1" x14ac:dyDescent="0.2"/>
    <row r="765" s="42" customFormat="1" x14ac:dyDescent="0.2"/>
    <row r="766" s="42" customFormat="1" x14ac:dyDescent="0.2"/>
    <row r="767" s="42" customFormat="1" x14ac:dyDescent="0.2"/>
    <row r="768" s="42" customFormat="1" x14ac:dyDescent="0.2"/>
    <row r="769" s="42" customFormat="1" x14ac:dyDescent="0.2"/>
    <row r="770" s="42" customFormat="1" x14ac:dyDescent="0.2"/>
    <row r="771" s="42" customFormat="1" x14ac:dyDescent="0.2"/>
    <row r="772" s="42" customFormat="1" x14ac:dyDescent="0.2"/>
    <row r="773" s="42" customFormat="1" x14ac:dyDescent="0.2"/>
    <row r="774" s="42" customFormat="1" x14ac:dyDescent="0.2"/>
    <row r="775" s="42" customFormat="1" x14ac:dyDescent="0.2"/>
    <row r="776" s="42" customFormat="1" x14ac:dyDescent="0.2"/>
    <row r="777" s="42" customFormat="1" x14ac:dyDescent="0.2"/>
    <row r="778" s="42" customFormat="1" x14ac:dyDescent="0.2"/>
    <row r="779" s="42" customFormat="1" x14ac:dyDescent="0.2"/>
    <row r="780" s="42" customFormat="1" x14ac:dyDescent="0.2"/>
    <row r="781" s="42" customFormat="1" x14ac:dyDescent="0.2"/>
    <row r="782" s="42" customFormat="1" x14ac:dyDescent="0.2"/>
    <row r="783" s="42" customFormat="1" x14ac:dyDescent="0.2"/>
    <row r="784" s="42" customFormat="1" x14ac:dyDescent="0.2"/>
    <row r="785" s="42" customFormat="1" x14ac:dyDescent="0.2"/>
    <row r="786" s="42" customFormat="1" x14ac:dyDescent="0.2"/>
    <row r="787" s="42" customFormat="1" x14ac:dyDescent="0.2"/>
    <row r="788" s="42" customFormat="1" x14ac:dyDescent="0.2"/>
    <row r="789" s="42" customFormat="1" x14ac:dyDescent="0.2"/>
    <row r="790" s="42" customFormat="1" x14ac:dyDescent="0.2"/>
    <row r="791" s="42" customFormat="1" x14ac:dyDescent="0.2"/>
    <row r="792" s="42" customFormat="1" x14ac:dyDescent="0.2"/>
    <row r="793" s="42" customFormat="1" x14ac:dyDescent="0.2"/>
    <row r="794" s="42" customFormat="1" x14ac:dyDescent="0.2"/>
    <row r="795" s="42" customFormat="1" x14ac:dyDescent="0.2"/>
    <row r="796" s="42" customFormat="1" x14ac:dyDescent="0.2"/>
    <row r="797" s="42" customFormat="1" x14ac:dyDescent="0.2"/>
    <row r="798" s="42" customFormat="1" x14ac:dyDescent="0.2"/>
    <row r="799" s="42" customFormat="1" x14ac:dyDescent="0.2"/>
    <row r="800" s="42" customFormat="1" x14ac:dyDescent="0.2"/>
    <row r="801" s="42" customFormat="1" x14ac:dyDescent="0.2"/>
    <row r="802" s="42" customFormat="1" x14ac:dyDescent="0.2"/>
    <row r="803" s="42" customFormat="1" x14ac:dyDescent="0.2"/>
    <row r="804" s="42" customFormat="1" x14ac:dyDescent="0.2"/>
    <row r="805" s="42" customFormat="1" x14ac:dyDescent="0.2"/>
    <row r="806" s="42" customFormat="1" x14ac:dyDescent="0.2"/>
    <row r="807" s="42" customFormat="1" x14ac:dyDescent="0.2"/>
    <row r="808" s="42" customFormat="1" x14ac:dyDescent="0.2"/>
    <row r="809" s="42" customFormat="1" x14ac:dyDescent="0.2"/>
    <row r="810" s="42" customFormat="1" x14ac:dyDescent="0.2"/>
    <row r="811" s="42" customFormat="1" x14ac:dyDescent="0.2"/>
    <row r="812" s="42" customFormat="1" x14ac:dyDescent="0.2"/>
    <row r="813" s="42" customFormat="1" x14ac:dyDescent="0.2"/>
    <row r="814" s="42" customFormat="1" x14ac:dyDescent="0.2"/>
    <row r="815" s="42" customFormat="1" x14ac:dyDescent="0.2"/>
    <row r="816" s="42" customFormat="1" x14ac:dyDescent="0.2"/>
    <row r="817" s="42" customFormat="1" x14ac:dyDescent="0.2"/>
    <row r="818" s="42" customFormat="1" x14ac:dyDescent="0.2"/>
    <row r="819" s="42" customFormat="1" x14ac:dyDescent="0.2"/>
    <row r="820" s="42" customFormat="1" x14ac:dyDescent="0.2"/>
    <row r="821" s="42" customFormat="1" x14ac:dyDescent="0.2"/>
    <row r="822" s="42" customFormat="1" x14ac:dyDescent="0.2"/>
    <row r="823" s="42" customFormat="1" x14ac:dyDescent="0.2"/>
    <row r="824" s="42" customFormat="1" x14ac:dyDescent="0.2"/>
    <row r="825" s="42" customFormat="1" x14ac:dyDescent="0.2"/>
    <row r="826" s="42" customFormat="1" x14ac:dyDescent="0.2"/>
    <row r="827" s="42" customFormat="1" x14ac:dyDescent="0.2"/>
    <row r="828" s="42" customFormat="1" x14ac:dyDescent="0.2"/>
    <row r="829" s="42" customFormat="1" x14ac:dyDescent="0.2"/>
    <row r="830" s="42" customFormat="1" x14ac:dyDescent="0.2"/>
    <row r="831" s="42" customFormat="1" x14ac:dyDescent="0.2"/>
    <row r="832" s="42" customFormat="1" x14ac:dyDescent="0.2"/>
    <row r="833" s="42" customFormat="1" x14ac:dyDescent="0.2"/>
    <row r="834" s="42" customFormat="1" x14ac:dyDescent="0.2"/>
    <row r="835" s="42" customFormat="1" x14ac:dyDescent="0.2"/>
    <row r="836" s="42" customFormat="1" x14ac:dyDescent="0.2"/>
    <row r="837" s="42" customFormat="1" x14ac:dyDescent="0.2"/>
    <row r="838" s="42" customFormat="1" x14ac:dyDescent="0.2"/>
    <row r="839" s="42" customFormat="1" x14ac:dyDescent="0.2"/>
    <row r="840" s="42" customFormat="1" x14ac:dyDescent="0.2"/>
    <row r="841" s="42" customFormat="1" x14ac:dyDescent="0.2"/>
    <row r="842" s="42" customFormat="1" x14ac:dyDescent="0.2"/>
    <row r="843" s="42" customFormat="1" x14ac:dyDescent="0.2"/>
    <row r="844" s="42" customFormat="1" x14ac:dyDescent="0.2"/>
    <row r="845" s="42" customFormat="1" x14ac:dyDescent="0.2"/>
    <row r="846" s="42" customFormat="1" x14ac:dyDescent="0.2"/>
    <row r="847" s="42" customFormat="1" x14ac:dyDescent="0.2"/>
    <row r="848" s="42" customFormat="1" x14ac:dyDescent="0.2"/>
    <row r="849" s="42" customFormat="1" x14ac:dyDescent="0.2"/>
    <row r="850" s="42" customFormat="1" x14ac:dyDescent="0.2"/>
    <row r="851" s="42" customFormat="1" x14ac:dyDescent="0.2"/>
    <row r="852" s="42" customFormat="1" x14ac:dyDescent="0.2"/>
    <row r="853" s="42" customFormat="1" x14ac:dyDescent="0.2"/>
    <row r="854" s="42" customFormat="1" x14ac:dyDescent="0.2"/>
    <row r="855" s="42" customFormat="1" x14ac:dyDescent="0.2"/>
    <row r="856" s="42" customFormat="1" x14ac:dyDescent="0.2"/>
    <row r="857" s="42" customFormat="1" x14ac:dyDescent="0.2"/>
    <row r="858" s="42" customFormat="1" x14ac:dyDescent="0.2"/>
    <row r="859" s="42" customFormat="1" x14ac:dyDescent="0.2"/>
    <row r="860" s="42" customFormat="1" x14ac:dyDescent="0.2"/>
    <row r="861" s="42" customFormat="1" x14ac:dyDescent="0.2"/>
    <row r="862" s="42" customFormat="1" x14ac:dyDescent="0.2"/>
    <row r="863" s="42" customFormat="1" x14ac:dyDescent="0.2"/>
    <row r="864" s="42" customFormat="1" x14ac:dyDescent="0.2"/>
    <row r="865" s="42" customFormat="1" x14ac:dyDescent="0.2"/>
    <row r="866" s="42" customFormat="1" x14ac:dyDescent="0.2"/>
    <row r="867" s="42" customFormat="1" x14ac:dyDescent="0.2"/>
    <row r="868" s="42" customFormat="1" x14ac:dyDescent="0.2"/>
    <row r="869" s="42" customFormat="1" x14ac:dyDescent="0.2"/>
    <row r="870" s="42" customFormat="1" x14ac:dyDescent="0.2"/>
    <row r="871" s="42" customFormat="1" x14ac:dyDescent="0.2"/>
    <row r="872" s="42" customFormat="1" x14ac:dyDescent="0.2"/>
    <row r="873" s="42" customFormat="1" x14ac:dyDescent="0.2"/>
    <row r="874" s="42" customFormat="1" x14ac:dyDescent="0.2"/>
    <row r="875" s="42" customFormat="1" x14ac:dyDescent="0.2"/>
    <row r="876" s="42" customFormat="1" x14ac:dyDescent="0.2"/>
    <row r="877" s="42" customFormat="1" x14ac:dyDescent="0.2"/>
    <row r="878" s="42" customFormat="1" x14ac:dyDescent="0.2"/>
    <row r="879" s="42" customFormat="1" x14ac:dyDescent="0.2"/>
    <row r="880" s="42" customFormat="1" x14ac:dyDescent="0.2"/>
    <row r="881" s="42" customFormat="1" x14ac:dyDescent="0.2"/>
    <row r="882" s="42" customFormat="1" x14ac:dyDescent="0.2"/>
    <row r="883" s="42" customFormat="1" x14ac:dyDescent="0.2"/>
    <row r="884" s="42" customFormat="1" x14ac:dyDescent="0.2"/>
    <row r="885" s="42" customFormat="1" x14ac:dyDescent="0.2"/>
    <row r="886" s="42" customFormat="1" x14ac:dyDescent="0.2"/>
    <row r="887" s="42" customFormat="1" x14ac:dyDescent="0.2"/>
    <row r="888" s="42" customFormat="1" x14ac:dyDescent="0.2"/>
    <row r="889" s="42" customFormat="1" x14ac:dyDescent="0.2"/>
    <row r="890" s="42" customFormat="1" x14ac:dyDescent="0.2"/>
    <row r="891" s="42" customFormat="1" x14ac:dyDescent="0.2"/>
    <row r="892" s="42" customFormat="1" x14ac:dyDescent="0.2"/>
    <row r="893" s="42" customFormat="1" x14ac:dyDescent="0.2"/>
    <row r="894" s="42" customFormat="1" x14ac:dyDescent="0.2"/>
    <row r="895" s="42" customFormat="1" x14ac:dyDescent="0.2"/>
    <row r="896" s="42" customFormat="1" x14ac:dyDescent="0.2"/>
    <row r="897" s="42" customFormat="1" x14ac:dyDescent="0.2"/>
    <row r="898" s="42" customFormat="1" x14ac:dyDescent="0.2"/>
    <row r="899" s="42" customFormat="1" x14ac:dyDescent="0.2"/>
    <row r="900" s="42" customFormat="1" x14ac:dyDescent="0.2"/>
    <row r="901" s="42" customFormat="1" x14ac:dyDescent="0.2"/>
    <row r="902" s="42" customFormat="1" x14ac:dyDescent="0.2"/>
    <row r="903" s="42" customFormat="1" x14ac:dyDescent="0.2"/>
    <row r="904" s="42" customFormat="1" x14ac:dyDescent="0.2"/>
    <row r="905" s="42" customFormat="1" x14ac:dyDescent="0.2"/>
    <row r="906" s="42" customFormat="1" x14ac:dyDescent="0.2"/>
    <row r="907" s="42" customFormat="1" x14ac:dyDescent="0.2"/>
    <row r="908" s="42" customFormat="1" x14ac:dyDescent="0.2"/>
    <row r="909" s="42" customFormat="1" x14ac:dyDescent="0.2"/>
    <row r="910" s="42" customFormat="1" x14ac:dyDescent="0.2"/>
    <row r="911" s="42" customFormat="1" x14ac:dyDescent="0.2"/>
    <row r="912" s="42" customFormat="1" x14ac:dyDescent="0.2"/>
    <row r="913" s="42" customFormat="1" x14ac:dyDescent="0.2"/>
    <row r="914" s="42" customFormat="1" x14ac:dyDescent="0.2"/>
    <row r="915" s="42" customFormat="1" x14ac:dyDescent="0.2"/>
    <row r="916" s="42" customFormat="1" x14ac:dyDescent="0.2"/>
    <row r="917" s="42" customFormat="1" x14ac:dyDescent="0.2"/>
    <row r="918" s="42" customFormat="1" x14ac:dyDescent="0.2"/>
    <row r="919" s="42" customFormat="1" x14ac:dyDescent="0.2"/>
    <row r="920" s="42" customFormat="1" x14ac:dyDescent="0.2"/>
    <row r="921" s="42" customFormat="1" x14ac:dyDescent="0.2"/>
    <row r="922" s="42" customFormat="1" x14ac:dyDescent="0.2"/>
    <row r="923" s="42" customFormat="1" x14ac:dyDescent="0.2"/>
    <row r="924" s="42" customFormat="1" x14ac:dyDescent="0.2"/>
    <row r="925" s="42" customFormat="1" x14ac:dyDescent="0.2"/>
    <row r="926" s="42" customFormat="1" x14ac:dyDescent="0.2"/>
    <row r="927" s="42" customFormat="1" x14ac:dyDescent="0.2"/>
    <row r="928" s="42" customFormat="1" x14ac:dyDescent="0.2"/>
    <row r="929" s="42" customFormat="1" x14ac:dyDescent="0.2"/>
    <row r="930" s="42" customFormat="1" x14ac:dyDescent="0.2"/>
    <row r="931" s="42" customFormat="1" x14ac:dyDescent="0.2"/>
    <row r="932" s="42" customFormat="1" x14ac:dyDescent="0.2"/>
    <row r="933" s="42" customFormat="1" x14ac:dyDescent="0.2"/>
    <row r="934" s="42" customFormat="1" x14ac:dyDescent="0.2"/>
    <row r="935" s="42" customFormat="1" x14ac:dyDescent="0.2"/>
    <row r="936" s="42" customFormat="1" x14ac:dyDescent="0.2"/>
    <row r="937" s="42" customFormat="1" x14ac:dyDescent="0.2"/>
    <row r="938" s="42" customFormat="1" x14ac:dyDescent="0.2"/>
    <row r="939" s="42" customFormat="1" x14ac:dyDescent="0.2"/>
    <row r="940" s="42" customFormat="1" x14ac:dyDescent="0.2"/>
    <row r="941" s="42" customFormat="1" x14ac:dyDescent="0.2"/>
    <row r="942" s="42" customFormat="1" x14ac:dyDescent="0.2"/>
    <row r="943" s="42" customFormat="1" x14ac:dyDescent="0.2"/>
    <row r="944" s="42" customFormat="1" x14ac:dyDescent="0.2"/>
    <row r="945" s="42" customFormat="1" x14ac:dyDescent="0.2"/>
    <row r="946" s="42" customFormat="1" x14ac:dyDescent="0.2"/>
    <row r="947" s="42" customFormat="1" x14ac:dyDescent="0.2"/>
    <row r="948" s="42" customFormat="1" x14ac:dyDescent="0.2"/>
    <row r="949" s="42" customFormat="1" x14ac:dyDescent="0.2"/>
    <row r="950" s="42" customFormat="1" x14ac:dyDescent="0.2"/>
    <row r="951" s="42" customFormat="1" x14ac:dyDescent="0.2"/>
    <row r="952" s="42" customFormat="1" x14ac:dyDescent="0.2"/>
    <row r="953" s="42" customFormat="1" x14ac:dyDescent="0.2"/>
    <row r="954" s="42" customFormat="1" x14ac:dyDescent="0.2"/>
    <row r="955" s="42" customFormat="1" x14ac:dyDescent="0.2"/>
    <row r="956" s="42" customFormat="1" x14ac:dyDescent="0.2"/>
    <row r="957" s="42" customFormat="1" x14ac:dyDescent="0.2"/>
    <row r="958" s="42" customFormat="1" x14ac:dyDescent="0.2"/>
    <row r="959" s="42" customFormat="1" x14ac:dyDescent="0.2"/>
    <row r="960" s="42" customFormat="1" x14ac:dyDescent="0.2"/>
    <row r="961" s="42" customFormat="1" x14ac:dyDescent="0.2"/>
    <row r="962" s="42" customFormat="1" x14ac:dyDescent="0.2"/>
    <row r="963" s="42" customFormat="1" x14ac:dyDescent="0.2"/>
    <row r="964" s="42" customFormat="1" x14ac:dyDescent="0.2"/>
    <row r="965" s="42" customFormat="1" x14ac:dyDescent="0.2"/>
    <row r="966" s="42" customFormat="1" x14ac:dyDescent="0.2"/>
    <row r="967" s="42" customFormat="1" x14ac:dyDescent="0.2"/>
    <row r="968" s="42" customFormat="1" x14ac:dyDescent="0.2"/>
    <row r="969" s="42" customFormat="1" x14ac:dyDescent="0.2"/>
    <row r="970" s="42" customFormat="1" x14ac:dyDescent="0.2"/>
    <row r="971" s="42" customFormat="1" x14ac:dyDescent="0.2"/>
    <row r="972" s="42" customFormat="1" x14ac:dyDescent="0.2"/>
    <row r="973" s="42" customFormat="1" x14ac:dyDescent="0.2"/>
    <row r="974" s="42" customFormat="1" x14ac:dyDescent="0.2"/>
    <row r="975" s="42" customFormat="1" x14ac:dyDescent="0.2"/>
    <row r="976" s="42" customFormat="1" x14ac:dyDescent="0.2"/>
    <row r="977" s="42" customFormat="1" x14ac:dyDescent="0.2"/>
    <row r="978" s="42" customFormat="1" x14ac:dyDescent="0.2"/>
    <row r="979" s="42" customFormat="1" x14ac:dyDescent="0.2"/>
    <row r="980" s="42" customFormat="1" x14ac:dyDescent="0.2"/>
    <row r="981" s="42" customFormat="1" x14ac:dyDescent="0.2"/>
    <row r="982" s="42" customFormat="1" x14ac:dyDescent="0.2"/>
    <row r="983" s="42" customFormat="1" x14ac:dyDescent="0.2"/>
    <row r="984" s="42" customFormat="1" x14ac:dyDescent="0.2"/>
    <row r="985" s="42" customFormat="1" x14ac:dyDescent="0.2"/>
    <row r="986" s="42" customFormat="1" x14ac:dyDescent="0.2"/>
    <row r="987" s="42" customFormat="1" x14ac:dyDescent="0.2"/>
    <row r="988" s="42" customFormat="1" x14ac:dyDescent="0.2"/>
    <row r="989" s="42" customFormat="1" x14ac:dyDescent="0.2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7" r:id="rId5" name="Button 111">
              <controlPr defaultSize="0" print="0" autoFill="0" autoPict="0" macro="[0]!Requestor">
                <anchor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3" r:id="rId6" name="Button 117">
              <controlPr defaultSize="0" print="0" autoFill="0" autoPict="0" macro="[0]!Requestor">
                <anchor moveWithCells="1" sizeWithCells="1">
                  <from>
                    <xdr:col>13</xdr:col>
                    <xdr:colOff>14478000</xdr:colOff>
                    <xdr:row>1</xdr:row>
                    <xdr:rowOff>24384000</xdr:rowOff>
                  </from>
                  <to>
                    <xdr:col>14</xdr:col>
                    <xdr:colOff>-6505575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92D050"/>
    <pageSetUpPr fitToPage="1"/>
  </sheetPr>
  <dimension ref="A1:J662"/>
  <sheetViews>
    <sheetView zoomScaleNormal="100" workbookViewId="0">
      <selection activeCell="C36" sqref="C36"/>
    </sheetView>
  </sheetViews>
  <sheetFormatPr defaultRowHeight="12.75" x14ac:dyDescent="0.2"/>
  <cols>
    <col min="1" max="1" width="13" style="26" bestFit="1" customWidth="1"/>
    <col min="2" max="2" width="19.85546875" bestFit="1" customWidth="1"/>
    <col min="3" max="3" width="33" bestFit="1" customWidth="1"/>
    <col min="4" max="4" width="54.85546875" customWidth="1"/>
    <col min="5" max="5" width="18" style="6" bestFit="1" customWidth="1"/>
    <col min="6" max="6" width="13.85546875" style="6" bestFit="1" customWidth="1"/>
    <col min="7" max="7" width="12" style="45" bestFit="1" customWidth="1"/>
    <col min="8" max="8" width="9.5703125" bestFit="1" customWidth="1"/>
    <col min="9" max="9" width="13.85546875" bestFit="1" customWidth="1"/>
    <col min="10" max="10" width="6" customWidth="1"/>
  </cols>
  <sheetData>
    <row r="1" spans="1:10" s="11" customFormat="1" x14ac:dyDescent="0.2">
      <c r="A1" s="60" t="s">
        <v>20</v>
      </c>
      <c r="B1" s="60"/>
      <c r="C1" s="60"/>
      <c r="D1" s="60"/>
      <c r="E1" s="12"/>
      <c r="F1" s="12"/>
      <c r="G1" s="51"/>
      <c r="H1" s="13" t="s">
        <v>0</v>
      </c>
      <c r="I1" s="13" t="s">
        <v>1</v>
      </c>
      <c r="J1" s="13" t="s">
        <v>2</v>
      </c>
    </row>
    <row r="2" spans="1:10" s="11" customFormat="1" ht="15.75" customHeight="1" x14ac:dyDescent="0.2">
      <c r="A2" s="34" t="s">
        <v>12</v>
      </c>
      <c r="B2" s="35" t="s">
        <v>341</v>
      </c>
      <c r="C2" s="34" t="s">
        <v>15</v>
      </c>
      <c r="D2" s="35" t="s">
        <v>38</v>
      </c>
      <c r="E2" s="14" t="s">
        <v>11</v>
      </c>
      <c r="F2" s="39" t="s">
        <v>183</v>
      </c>
      <c r="G2" s="13" t="s">
        <v>3</v>
      </c>
      <c r="H2" s="20"/>
      <c r="I2" s="20"/>
      <c r="J2" s="24"/>
    </row>
    <row r="3" spans="1:10" s="11" customFormat="1" ht="16.5" customHeight="1" x14ac:dyDescent="0.2">
      <c r="A3" s="34" t="s">
        <v>13</v>
      </c>
      <c r="B3" s="35">
        <v>5000</v>
      </c>
      <c r="C3" s="34" t="s">
        <v>14</v>
      </c>
      <c r="D3" s="35" t="s">
        <v>38</v>
      </c>
      <c r="E3" s="14" t="s">
        <v>24</v>
      </c>
      <c r="F3" s="31">
        <v>0</v>
      </c>
      <c r="G3" s="13" t="s">
        <v>4</v>
      </c>
      <c r="H3" s="20"/>
      <c r="I3" s="20"/>
      <c r="J3" s="21"/>
    </row>
    <row r="4" spans="1:10" s="11" customFormat="1" ht="17.25" customHeight="1" x14ac:dyDescent="0.2">
      <c r="A4" s="34" t="s">
        <v>21</v>
      </c>
      <c r="B4" s="36" t="s">
        <v>920</v>
      </c>
      <c r="C4" s="34"/>
      <c r="D4" s="37"/>
      <c r="E4" s="14" t="s">
        <v>16</v>
      </c>
      <c r="F4" s="23"/>
      <c r="G4" s="13" t="s">
        <v>5</v>
      </c>
      <c r="H4" s="20"/>
      <c r="I4" s="20"/>
      <c r="J4" s="21"/>
    </row>
    <row r="5" spans="1:10" s="11" customFormat="1" ht="16.5" customHeight="1" x14ac:dyDescent="0.2">
      <c r="A5" s="27"/>
      <c r="E5" s="14" t="s">
        <v>17</v>
      </c>
      <c r="F5" s="58">
        <v>45061</v>
      </c>
      <c r="G5" s="13" t="s">
        <v>6</v>
      </c>
      <c r="H5" s="20"/>
      <c r="I5" s="20"/>
      <c r="J5" s="21"/>
    </row>
    <row r="6" spans="1:10" s="15" customFormat="1" ht="16.5" customHeight="1" x14ac:dyDescent="0.2">
      <c r="A6" s="28" t="s">
        <v>8</v>
      </c>
      <c r="E6" s="14" t="s">
        <v>18</v>
      </c>
      <c r="F6" s="24">
        <v>1</v>
      </c>
      <c r="G6" s="52" t="s">
        <v>7</v>
      </c>
      <c r="H6" s="20"/>
      <c r="I6" s="20"/>
      <c r="J6" s="21"/>
    </row>
    <row r="7" spans="1:10" s="16" customFormat="1" ht="19.5" customHeight="1" thickBot="1" x14ac:dyDescent="0.25">
      <c r="A7" s="29"/>
      <c r="C7" s="32" t="s">
        <v>10</v>
      </c>
      <c r="E7" s="17" t="s">
        <v>19</v>
      </c>
      <c r="F7" s="19">
        <v>0</v>
      </c>
      <c r="G7" s="53"/>
      <c r="H7" s="18"/>
      <c r="I7" s="18"/>
      <c r="J7" s="19"/>
    </row>
    <row r="8" spans="1:10" s="33" customFormat="1" ht="13.5" thickBot="1" x14ac:dyDescent="0.25">
      <c r="A8" s="33" t="s">
        <v>22</v>
      </c>
      <c r="B8" s="33" t="s">
        <v>25</v>
      </c>
      <c r="C8" s="33" t="s">
        <v>181</v>
      </c>
      <c r="D8" s="33" t="s">
        <v>23</v>
      </c>
      <c r="E8" s="33" t="s">
        <v>182</v>
      </c>
      <c r="F8" s="33" t="s">
        <v>78</v>
      </c>
      <c r="G8" s="38" t="s">
        <v>9</v>
      </c>
    </row>
    <row r="9" spans="1:10" s="10" customFormat="1" ht="13.5" thickBot="1" x14ac:dyDescent="0.25">
      <c r="A9" s="30"/>
      <c r="E9" s="22"/>
      <c r="F9" s="22"/>
    </row>
    <row r="10" spans="1:10" s="25" customFormat="1" ht="42.75" customHeight="1" x14ac:dyDescent="0.2">
      <c r="A10" s="25" t="s">
        <v>37</v>
      </c>
      <c r="B10" s="25" t="s">
        <v>79</v>
      </c>
      <c r="C10" s="25" t="s">
        <v>408</v>
      </c>
      <c r="D10" s="25" t="s">
        <v>41</v>
      </c>
      <c r="E10" s="25" t="s">
        <v>409</v>
      </c>
      <c r="F10" s="25" t="s">
        <v>80</v>
      </c>
      <c r="G10" s="25" t="s">
        <v>410</v>
      </c>
    </row>
    <row r="11" spans="1:10" s="2" customFormat="1" x14ac:dyDescent="0.2">
      <c r="A11" s="1" t="s">
        <v>365</v>
      </c>
      <c r="B11" s="3">
        <v>315526387.88</v>
      </c>
      <c r="C11" s="3">
        <v>318446668.69999999</v>
      </c>
      <c r="D11" s="1" t="s">
        <v>411</v>
      </c>
      <c r="E11" s="44">
        <v>304833702.06800002</v>
      </c>
      <c r="F11" s="3">
        <v>2584169.4</v>
      </c>
      <c r="G11" s="1" t="s">
        <v>919</v>
      </c>
    </row>
    <row r="12" spans="1:10" s="2" customFormat="1" x14ac:dyDescent="0.2">
      <c r="A12" s="1" t="s">
        <v>366</v>
      </c>
      <c r="B12" s="3">
        <v>202990781.80000001</v>
      </c>
      <c r="C12" s="3">
        <v>206246791.44</v>
      </c>
      <c r="D12" s="1" t="s">
        <v>412</v>
      </c>
      <c r="E12" s="44">
        <v>233822304.412</v>
      </c>
      <c r="F12" s="3">
        <v>2884243.97</v>
      </c>
      <c r="G12" s="1" t="s">
        <v>919</v>
      </c>
    </row>
    <row r="13" spans="1:10" s="2" customFormat="1" x14ac:dyDescent="0.2">
      <c r="A13" s="1" t="s">
        <v>367</v>
      </c>
      <c r="B13" s="3">
        <v>295261979.62</v>
      </c>
      <c r="C13" s="3">
        <v>310701721.55000001</v>
      </c>
      <c r="D13" s="1" t="s">
        <v>413</v>
      </c>
      <c r="E13" s="44">
        <v>296126442.85100001</v>
      </c>
      <c r="F13" s="3">
        <v>2286010.7400000002</v>
      </c>
      <c r="G13" s="1" t="s">
        <v>919</v>
      </c>
    </row>
    <row r="14" spans="1:10" s="2" customFormat="1" x14ac:dyDescent="0.2">
      <c r="A14" s="1" t="s">
        <v>368</v>
      </c>
      <c r="B14" s="3">
        <v>223030811.69999999</v>
      </c>
      <c r="C14" s="3">
        <v>234017691.13999999</v>
      </c>
      <c r="D14" s="1" t="s">
        <v>414</v>
      </c>
      <c r="E14" s="44">
        <v>265817478.06999999</v>
      </c>
      <c r="F14" s="3">
        <v>2631790.17</v>
      </c>
      <c r="G14" s="1" t="s">
        <v>919</v>
      </c>
    </row>
    <row r="15" spans="1:10" s="2" customFormat="1" x14ac:dyDescent="0.2">
      <c r="A15" s="1" t="s">
        <v>472</v>
      </c>
      <c r="B15" s="3">
        <v>18315.53</v>
      </c>
      <c r="C15" s="3">
        <v>19943.2</v>
      </c>
      <c r="D15" s="1" t="s">
        <v>473</v>
      </c>
      <c r="E15" s="44">
        <v>20000</v>
      </c>
      <c r="F15" s="3">
        <v>0</v>
      </c>
      <c r="G15" s="1" t="s">
        <v>919</v>
      </c>
    </row>
    <row r="16" spans="1:10" s="2" customFormat="1" x14ac:dyDescent="0.2">
      <c r="A16" s="1" t="s">
        <v>474</v>
      </c>
      <c r="B16" s="3">
        <v>18931.53</v>
      </c>
      <c r="C16" s="3">
        <v>19931.36</v>
      </c>
      <c r="D16" s="1" t="s">
        <v>475</v>
      </c>
      <c r="E16" s="44">
        <v>20000</v>
      </c>
      <c r="F16" s="3">
        <v>0</v>
      </c>
      <c r="G16" s="1" t="s">
        <v>919</v>
      </c>
    </row>
    <row r="17" spans="1:7" s="2" customFormat="1" x14ac:dyDescent="0.2">
      <c r="A17" s="1" t="s">
        <v>476</v>
      </c>
      <c r="B17" s="3">
        <v>18713.02</v>
      </c>
      <c r="C17" s="3">
        <v>19890.61</v>
      </c>
      <c r="D17" s="1" t="s">
        <v>477</v>
      </c>
      <c r="E17" s="44">
        <v>20000</v>
      </c>
      <c r="F17" s="3">
        <v>0</v>
      </c>
      <c r="G17" s="1" t="s">
        <v>919</v>
      </c>
    </row>
    <row r="18" spans="1:7" s="2" customFormat="1" x14ac:dyDescent="0.2">
      <c r="A18" s="1" t="s">
        <v>478</v>
      </c>
      <c r="B18" s="3">
        <v>9733.9699999999993</v>
      </c>
      <c r="C18" s="3">
        <v>9928.2800000000007</v>
      </c>
      <c r="D18" s="1" t="s">
        <v>479</v>
      </c>
      <c r="E18" s="44">
        <v>10000</v>
      </c>
      <c r="F18" s="3">
        <v>0</v>
      </c>
      <c r="G18" s="1" t="s">
        <v>919</v>
      </c>
    </row>
    <row r="19" spans="1:7" s="2" customFormat="1" x14ac:dyDescent="0.2">
      <c r="A19" s="1" t="s">
        <v>44</v>
      </c>
      <c r="B19" s="3">
        <v>0</v>
      </c>
      <c r="C19" s="3">
        <v>1049999.97</v>
      </c>
      <c r="D19" s="1" t="s">
        <v>81</v>
      </c>
      <c r="E19" s="44">
        <v>45962051.226999998</v>
      </c>
      <c r="F19" s="3">
        <v>305817.17</v>
      </c>
      <c r="G19" s="1" t="s">
        <v>919</v>
      </c>
    </row>
    <row r="20" spans="1:7" s="2" customFormat="1" x14ac:dyDescent="0.2">
      <c r="A20" s="1" t="s">
        <v>184</v>
      </c>
      <c r="B20" s="3">
        <v>4435106.75</v>
      </c>
      <c r="C20" s="3">
        <v>4618100.59</v>
      </c>
      <c r="D20" s="1" t="s">
        <v>415</v>
      </c>
      <c r="E20" s="44">
        <v>4697177.5559999999</v>
      </c>
      <c r="F20" s="3">
        <v>8925.7000000000007</v>
      </c>
      <c r="G20" s="1" t="s">
        <v>919</v>
      </c>
    </row>
    <row r="21" spans="1:7" s="2" customFormat="1" x14ac:dyDescent="0.2">
      <c r="A21" s="1" t="s">
        <v>185</v>
      </c>
      <c r="B21" s="3">
        <v>47964812.380000003</v>
      </c>
      <c r="C21" s="3">
        <v>48376586.259999998</v>
      </c>
      <c r="D21" s="1" t="s">
        <v>416</v>
      </c>
      <c r="E21" s="44">
        <v>47826888.388999999</v>
      </c>
      <c r="F21" s="3">
        <v>27088.2</v>
      </c>
      <c r="G21" s="1" t="s">
        <v>919</v>
      </c>
    </row>
    <row r="22" spans="1:7" s="2" customFormat="1" x14ac:dyDescent="0.2">
      <c r="A22" s="1" t="s">
        <v>186</v>
      </c>
      <c r="B22" s="3">
        <v>6409356.7800000003</v>
      </c>
      <c r="C22" s="3">
        <v>6538473.4699999997</v>
      </c>
      <c r="D22" s="1" t="s">
        <v>417</v>
      </c>
      <c r="E22" s="44">
        <v>5981011.6960000005</v>
      </c>
      <c r="F22" s="3">
        <v>906.02</v>
      </c>
      <c r="G22" s="1" t="s">
        <v>919</v>
      </c>
    </row>
    <row r="23" spans="1:7" s="2" customFormat="1" x14ac:dyDescent="0.2">
      <c r="A23" s="1" t="s">
        <v>285</v>
      </c>
      <c r="B23" s="3">
        <v>0</v>
      </c>
      <c r="C23" s="3">
        <v>674474.9</v>
      </c>
      <c r="D23" s="1" t="s">
        <v>418</v>
      </c>
      <c r="E23" s="44">
        <v>8706085.5059999991</v>
      </c>
      <c r="F23" s="3">
        <v>-46865.18</v>
      </c>
      <c r="G23" s="1" t="s">
        <v>919</v>
      </c>
    </row>
    <row r="24" spans="1:7" s="2" customFormat="1" x14ac:dyDescent="0.2">
      <c r="A24" s="1" t="s">
        <v>286</v>
      </c>
      <c r="B24" s="3">
        <v>0</v>
      </c>
      <c r="C24" s="3">
        <v>400929.39</v>
      </c>
      <c r="D24" s="1" t="s">
        <v>419</v>
      </c>
      <c r="E24" s="44">
        <v>10619619.854</v>
      </c>
      <c r="F24" s="3">
        <v>4609.91</v>
      </c>
      <c r="G24" s="1" t="s">
        <v>919</v>
      </c>
    </row>
    <row r="25" spans="1:7" s="2" customFormat="1" x14ac:dyDescent="0.2">
      <c r="A25" s="1" t="s">
        <v>287</v>
      </c>
      <c r="B25" s="3">
        <v>0</v>
      </c>
      <c r="C25" s="3">
        <v>11585207.210000001</v>
      </c>
      <c r="D25" s="1" t="s">
        <v>420</v>
      </c>
      <c r="E25" s="44">
        <v>18041010.004999999</v>
      </c>
      <c r="F25" s="3">
        <v>-111715.15</v>
      </c>
      <c r="G25" s="1" t="s">
        <v>919</v>
      </c>
    </row>
    <row r="26" spans="1:7" s="2" customFormat="1" x14ac:dyDescent="0.2">
      <c r="A26" s="1" t="s">
        <v>279</v>
      </c>
      <c r="B26" s="3">
        <v>0</v>
      </c>
      <c r="C26" s="3">
        <v>594193.16</v>
      </c>
      <c r="D26" s="1" t="s">
        <v>421</v>
      </c>
      <c r="E26" s="44">
        <v>39558301.365999997</v>
      </c>
      <c r="F26" s="3">
        <v>161540.6</v>
      </c>
      <c r="G26" s="1" t="s">
        <v>919</v>
      </c>
    </row>
    <row r="27" spans="1:7" s="2" customFormat="1" x14ac:dyDescent="0.2">
      <c r="A27" s="1" t="s">
        <v>290</v>
      </c>
      <c r="B27" s="3">
        <v>0</v>
      </c>
      <c r="C27" s="3">
        <v>3640964.75</v>
      </c>
      <c r="D27" s="1" t="s">
        <v>291</v>
      </c>
      <c r="E27" s="44">
        <v>152363676.99399999</v>
      </c>
      <c r="F27" s="3">
        <v>1300859.6499999999</v>
      </c>
      <c r="G27" s="1" t="s">
        <v>919</v>
      </c>
    </row>
    <row r="28" spans="1:7" s="2" customFormat="1" x14ac:dyDescent="0.2">
      <c r="A28" s="1" t="s">
        <v>45</v>
      </c>
      <c r="B28" s="3">
        <v>8570469.4100000001</v>
      </c>
      <c r="C28" s="3">
        <v>8909033.1899999995</v>
      </c>
      <c r="D28" s="1" t="s">
        <v>422</v>
      </c>
      <c r="E28" s="44">
        <v>2814683.6669999999</v>
      </c>
      <c r="F28" s="3">
        <v>111592.25</v>
      </c>
      <c r="G28" s="1" t="s">
        <v>919</v>
      </c>
    </row>
    <row r="29" spans="1:7" s="2" customFormat="1" x14ac:dyDescent="0.2">
      <c r="A29" s="1" t="s">
        <v>454</v>
      </c>
      <c r="B29" s="3">
        <v>9715.08</v>
      </c>
      <c r="C29" s="3">
        <v>10112.17</v>
      </c>
      <c r="D29" s="1" t="s">
        <v>455</v>
      </c>
      <c r="E29" s="44">
        <v>10000</v>
      </c>
      <c r="F29" s="3">
        <v>18.760000000000002</v>
      </c>
      <c r="G29" s="1" t="s">
        <v>919</v>
      </c>
    </row>
    <row r="30" spans="1:7" s="2" customFormat="1" x14ac:dyDescent="0.2">
      <c r="A30" s="1" t="s">
        <v>456</v>
      </c>
      <c r="B30" s="3">
        <v>296549.52</v>
      </c>
      <c r="C30" s="3">
        <v>440377.38</v>
      </c>
      <c r="D30" s="1" t="s">
        <v>457</v>
      </c>
      <c r="E30" s="44">
        <v>435863.27399999998</v>
      </c>
      <c r="F30" s="3">
        <v>640.94000000000005</v>
      </c>
      <c r="G30" s="1" t="s">
        <v>919</v>
      </c>
    </row>
    <row r="31" spans="1:7" s="2" customFormat="1" x14ac:dyDescent="0.2">
      <c r="A31" s="1" t="s">
        <v>458</v>
      </c>
      <c r="B31" s="3">
        <v>111089.11</v>
      </c>
      <c r="C31" s="3">
        <v>127178.63</v>
      </c>
      <c r="D31" s="1" t="s">
        <v>459</v>
      </c>
      <c r="E31" s="44">
        <v>125114.72100000001</v>
      </c>
      <c r="F31" s="3">
        <v>83.05</v>
      </c>
      <c r="G31" s="1" t="s">
        <v>919</v>
      </c>
    </row>
    <row r="32" spans="1:7" s="2" customFormat="1" x14ac:dyDescent="0.2">
      <c r="A32" s="1" t="s">
        <v>402</v>
      </c>
      <c r="B32" s="3">
        <v>60526031.229999997</v>
      </c>
      <c r="C32" s="3">
        <v>61328518.340000004</v>
      </c>
      <c r="D32" s="1" t="s">
        <v>423</v>
      </c>
      <c r="E32" s="44">
        <v>59755367.876000002</v>
      </c>
      <c r="F32" s="3">
        <v>359906.54</v>
      </c>
      <c r="G32" s="1" t="s">
        <v>919</v>
      </c>
    </row>
    <row r="33" spans="1:9" s="2" customFormat="1" x14ac:dyDescent="0.2">
      <c r="A33" s="1" t="s">
        <v>403</v>
      </c>
      <c r="B33" s="3">
        <v>357993378.45999998</v>
      </c>
      <c r="C33" s="3">
        <v>375992601.49000001</v>
      </c>
      <c r="D33" s="1" t="s">
        <v>424</v>
      </c>
      <c r="E33" s="44">
        <v>369671852.639</v>
      </c>
      <c r="F33" s="3">
        <v>2065973.35</v>
      </c>
      <c r="G33" s="1" t="s">
        <v>919</v>
      </c>
    </row>
    <row r="34" spans="1:9" s="2" customFormat="1" x14ac:dyDescent="0.2">
      <c r="A34" s="1" t="s">
        <v>404</v>
      </c>
      <c r="B34" s="3">
        <v>43068622.670000002</v>
      </c>
      <c r="C34" s="3">
        <v>45949059.82</v>
      </c>
      <c r="D34" s="1" t="s">
        <v>425</v>
      </c>
      <c r="E34" s="44">
        <v>45805874.364</v>
      </c>
      <c r="F34" s="3">
        <v>249377.4</v>
      </c>
      <c r="G34" s="1" t="s">
        <v>919</v>
      </c>
    </row>
    <row r="35" spans="1:9" s="2" customFormat="1" x14ac:dyDescent="0.2">
      <c r="A35" s="1" t="s">
        <v>46</v>
      </c>
      <c r="B35" s="3">
        <v>97973788.079999998</v>
      </c>
      <c r="C35" s="3">
        <v>100694539.81</v>
      </c>
      <c r="D35" s="1" t="s">
        <v>426</v>
      </c>
      <c r="E35" s="44">
        <v>20623037.782000002</v>
      </c>
      <c r="F35" s="3">
        <v>279467.32</v>
      </c>
      <c r="G35" s="1" t="s">
        <v>919</v>
      </c>
    </row>
    <row r="36" spans="1:9" s="2" customFormat="1" x14ac:dyDescent="0.2">
      <c r="A36" s="1" t="s">
        <v>47</v>
      </c>
      <c r="B36" s="3">
        <v>108262331.67</v>
      </c>
      <c r="C36" s="3">
        <v>110473718.18000001</v>
      </c>
      <c r="D36" s="1" t="s">
        <v>427</v>
      </c>
      <c r="E36" s="44">
        <v>31353522.267999999</v>
      </c>
      <c r="F36" s="3">
        <v>1848917.21</v>
      </c>
      <c r="G36" s="1" t="s">
        <v>919</v>
      </c>
      <c r="H36" s="2">
        <v>-62855.95</v>
      </c>
      <c r="I36" s="3">
        <f>C36+H36</f>
        <v>110410862.23</v>
      </c>
    </row>
    <row r="37" spans="1:9" s="2" customFormat="1" x14ac:dyDescent="0.2">
      <c r="A37" s="1" t="s">
        <v>48</v>
      </c>
      <c r="B37" s="3">
        <v>110991996.90000001</v>
      </c>
      <c r="C37" s="3">
        <v>112355189.84</v>
      </c>
      <c r="D37" s="1" t="s">
        <v>428</v>
      </c>
      <c r="E37" s="44">
        <v>20890258.294</v>
      </c>
      <c r="F37" s="3">
        <v>1072290.56</v>
      </c>
      <c r="G37" s="1" t="s">
        <v>919</v>
      </c>
    </row>
    <row r="38" spans="1:9" s="2" customFormat="1" x14ac:dyDescent="0.2">
      <c r="A38" s="1" t="s">
        <v>49</v>
      </c>
      <c r="B38" s="3">
        <v>73855865.340000004</v>
      </c>
      <c r="C38" s="3">
        <v>75099408.109999999</v>
      </c>
      <c r="D38" s="1" t="s">
        <v>429</v>
      </c>
      <c r="E38" s="44">
        <v>12275311.481000001</v>
      </c>
      <c r="F38" s="3">
        <v>307562.63</v>
      </c>
      <c r="G38" s="1" t="s">
        <v>919</v>
      </c>
    </row>
    <row r="39" spans="1:9" s="2" customFormat="1" x14ac:dyDescent="0.2">
      <c r="A39" s="1" t="s">
        <v>50</v>
      </c>
      <c r="B39" s="3">
        <v>18008428.59</v>
      </c>
      <c r="C39" s="3">
        <v>18256134.010000002</v>
      </c>
      <c r="D39" s="1" t="s">
        <v>430</v>
      </c>
      <c r="E39" s="44">
        <v>3760952.2370000002</v>
      </c>
      <c r="F39" s="3">
        <v>38446.42</v>
      </c>
      <c r="G39" s="1" t="s">
        <v>919</v>
      </c>
    </row>
    <row r="40" spans="1:9" s="2" customFormat="1" x14ac:dyDescent="0.2">
      <c r="A40" s="1" t="s">
        <v>51</v>
      </c>
      <c r="B40" s="3">
        <v>0</v>
      </c>
      <c r="C40" s="3">
        <v>0</v>
      </c>
      <c r="D40" s="1" t="s">
        <v>480</v>
      </c>
      <c r="E40" s="44">
        <v>0</v>
      </c>
      <c r="F40" s="3">
        <v>0</v>
      </c>
      <c r="G40" s="1" t="s">
        <v>919</v>
      </c>
    </row>
    <row r="41" spans="1:9" s="2" customFormat="1" x14ac:dyDescent="0.2">
      <c r="A41" s="1" t="s">
        <v>52</v>
      </c>
      <c r="B41" s="3">
        <v>0</v>
      </c>
      <c r="C41" s="3">
        <v>0</v>
      </c>
      <c r="D41" s="1" t="s">
        <v>481</v>
      </c>
      <c r="E41" s="44">
        <v>0</v>
      </c>
      <c r="F41" s="3">
        <v>0</v>
      </c>
      <c r="G41" s="1" t="s">
        <v>919</v>
      </c>
    </row>
    <row r="42" spans="1:9" s="2" customFormat="1" x14ac:dyDescent="0.2">
      <c r="A42" s="1" t="s">
        <v>53</v>
      </c>
      <c r="B42" s="3">
        <v>29263655.640000001</v>
      </c>
      <c r="C42" s="3">
        <v>29498296.420000002</v>
      </c>
      <c r="D42" s="1" t="s">
        <v>431</v>
      </c>
      <c r="E42" s="44">
        <v>17212443.673999999</v>
      </c>
      <c r="F42" s="3">
        <v>241275.91</v>
      </c>
      <c r="G42" s="1" t="s">
        <v>919</v>
      </c>
    </row>
    <row r="43" spans="1:9" s="2" customFormat="1" x14ac:dyDescent="0.2">
      <c r="A43" s="1" t="s">
        <v>54</v>
      </c>
      <c r="B43" s="3">
        <v>61539871.759999998</v>
      </c>
      <c r="C43" s="3">
        <v>61986065.170000002</v>
      </c>
      <c r="D43" s="1" t="s">
        <v>432</v>
      </c>
      <c r="E43" s="44">
        <v>30478888.673999999</v>
      </c>
      <c r="F43" s="3">
        <v>432701.44</v>
      </c>
      <c r="G43" s="1" t="s">
        <v>919</v>
      </c>
    </row>
    <row r="44" spans="1:9" s="2" customFormat="1" x14ac:dyDescent="0.2">
      <c r="A44" s="1" t="s">
        <v>55</v>
      </c>
      <c r="B44" s="3">
        <v>41482631.759999998</v>
      </c>
      <c r="C44" s="3">
        <v>41861754.659999996</v>
      </c>
      <c r="D44" s="1" t="s">
        <v>433</v>
      </c>
      <c r="E44" s="44">
        <v>18318344.236000001</v>
      </c>
      <c r="F44" s="3">
        <v>187680.8</v>
      </c>
      <c r="G44" s="1" t="s">
        <v>919</v>
      </c>
    </row>
    <row r="45" spans="1:9" s="2" customFormat="1" x14ac:dyDescent="0.2">
      <c r="A45" s="1" t="s">
        <v>56</v>
      </c>
      <c r="B45" s="3">
        <v>22535048.079999998</v>
      </c>
      <c r="C45" s="3">
        <v>22908896.5</v>
      </c>
      <c r="D45" s="1" t="s">
        <v>434</v>
      </c>
      <c r="E45" s="44">
        <v>12643028.254000001</v>
      </c>
      <c r="F45" s="3">
        <v>261718.16</v>
      </c>
      <c r="G45" s="1" t="s">
        <v>919</v>
      </c>
    </row>
    <row r="46" spans="1:9" s="2" customFormat="1" x14ac:dyDescent="0.2">
      <c r="A46" s="1" t="s">
        <v>57</v>
      </c>
      <c r="B46" s="3">
        <v>0</v>
      </c>
      <c r="C46" s="3">
        <v>1916732.08</v>
      </c>
      <c r="D46" s="1" t="s">
        <v>435</v>
      </c>
      <c r="E46" s="44">
        <v>297013332.78500003</v>
      </c>
      <c r="F46" s="3">
        <v>248360.36</v>
      </c>
      <c r="G46" s="1" t="s">
        <v>919</v>
      </c>
    </row>
    <row r="47" spans="1:9" s="2" customFormat="1" x14ac:dyDescent="0.2">
      <c r="A47" s="1" t="s">
        <v>58</v>
      </c>
      <c r="B47" s="3">
        <v>0</v>
      </c>
      <c r="C47" s="3">
        <v>0</v>
      </c>
      <c r="D47" s="1" t="s">
        <v>482</v>
      </c>
      <c r="E47" s="44">
        <v>0</v>
      </c>
      <c r="F47" s="3">
        <v>0</v>
      </c>
      <c r="G47" s="1" t="s">
        <v>919</v>
      </c>
    </row>
    <row r="48" spans="1:9" s="2" customFormat="1" x14ac:dyDescent="0.2">
      <c r="A48" s="1" t="s">
        <v>59</v>
      </c>
      <c r="B48" s="3">
        <v>0</v>
      </c>
      <c r="C48" s="3">
        <v>24004813.149999999</v>
      </c>
      <c r="D48" s="1" t="s">
        <v>436</v>
      </c>
      <c r="E48" s="44">
        <v>240267907.197</v>
      </c>
      <c r="F48" s="3">
        <v>2089212.36</v>
      </c>
      <c r="G48" s="1" t="s">
        <v>919</v>
      </c>
    </row>
    <row r="49" spans="1:7" s="2" customFormat="1" x14ac:dyDescent="0.2">
      <c r="A49" s="1" t="s">
        <v>60</v>
      </c>
      <c r="B49" s="3">
        <v>0</v>
      </c>
      <c r="C49" s="3">
        <v>541415.19999999995</v>
      </c>
      <c r="D49" s="1" t="s">
        <v>437</v>
      </c>
      <c r="E49" s="44">
        <v>8022411.8130000001</v>
      </c>
      <c r="F49" s="3">
        <v>47445.1</v>
      </c>
      <c r="G49" s="1" t="s">
        <v>919</v>
      </c>
    </row>
    <row r="50" spans="1:7" s="2" customFormat="1" x14ac:dyDescent="0.2">
      <c r="A50" s="1" t="s">
        <v>61</v>
      </c>
      <c r="B50" s="3">
        <v>0</v>
      </c>
      <c r="C50" s="3">
        <v>1790221.96</v>
      </c>
      <c r="D50" s="1" t="s">
        <v>438</v>
      </c>
      <c r="E50" s="44">
        <v>29881387.476</v>
      </c>
      <c r="F50" s="3">
        <v>269789.73</v>
      </c>
      <c r="G50" s="1" t="s">
        <v>919</v>
      </c>
    </row>
    <row r="51" spans="1:7" s="2" customFormat="1" x14ac:dyDescent="0.2">
      <c r="A51" s="1" t="s">
        <v>62</v>
      </c>
      <c r="B51" s="3">
        <v>0</v>
      </c>
      <c r="C51" s="3">
        <v>1011490.75</v>
      </c>
      <c r="D51" s="1" t="s">
        <v>439</v>
      </c>
      <c r="E51" s="44">
        <v>34778647.935999997</v>
      </c>
      <c r="F51" s="3">
        <v>280861.81</v>
      </c>
      <c r="G51" s="1" t="s">
        <v>919</v>
      </c>
    </row>
    <row r="52" spans="1:7" s="2" customFormat="1" x14ac:dyDescent="0.2">
      <c r="A52" s="1" t="s">
        <v>297</v>
      </c>
      <c r="B52" s="3">
        <v>110415380.09999999</v>
      </c>
      <c r="C52" s="3">
        <v>114059004.67</v>
      </c>
      <c r="D52" s="1" t="s">
        <v>304</v>
      </c>
      <c r="E52" s="44">
        <v>120900072.12</v>
      </c>
      <c r="F52" s="3">
        <v>968952.59</v>
      </c>
      <c r="G52" s="1" t="s">
        <v>919</v>
      </c>
    </row>
    <row r="53" spans="1:7" s="2" customFormat="1" x14ac:dyDescent="0.2">
      <c r="A53" s="1" t="s">
        <v>298</v>
      </c>
      <c r="B53" s="3">
        <v>260492545.88</v>
      </c>
      <c r="C53" s="3">
        <v>287845241.94999999</v>
      </c>
      <c r="D53" s="1" t="s">
        <v>305</v>
      </c>
      <c r="E53" s="44">
        <v>297330961.5</v>
      </c>
      <c r="F53" s="3">
        <v>1518490.69</v>
      </c>
      <c r="G53" s="1" t="s">
        <v>919</v>
      </c>
    </row>
    <row r="54" spans="1:7" s="2" customFormat="1" x14ac:dyDescent="0.2">
      <c r="A54" s="1" t="s">
        <v>299</v>
      </c>
      <c r="B54" s="3">
        <v>125307684.61</v>
      </c>
      <c r="C54" s="3">
        <v>131836731.91</v>
      </c>
      <c r="D54" s="1" t="s">
        <v>306</v>
      </c>
      <c r="E54" s="44">
        <v>122342450.26800001</v>
      </c>
      <c r="F54" s="3">
        <v>1704784.86</v>
      </c>
      <c r="G54" s="1" t="s">
        <v>919</v>
      </c>
    </row>
    <row r="55" spans="1:7" s="2" customFormat="1" x14ac:dyDescent="0.2">
      <c r="A55" s="1" t="s">
        <v>300</v>
      </c>
      <c r="B55" s="3">
        <v>67555187.349999994</v>
      </c>
      <c r="C55" s="3">
        <v>71164399.909999996</v>
      </c>
      <c r="D55" s="1" t="s">
        <v>307</v>
      </c>
      <c r="E55" s="44">
        <v>72423044.018999994</v>
      </c>
      <c r="F55" s="3">
        <v>219777</v>
      </c>
      <c r="G55" s="1" t="s">
        <v>919</v>
      </c>
    </row>
    <row r="56" spans="1:7" s="2" customFormat="1" x14ac:dyDescent="0.2">
      <c r="A56" s="1" t="s">
        <v>301</v>
      </c>
      <c r="B56" s="3">
        <v>96784862.75</v>
      </c>
      <c r="C56" s="3">
        <v>101884305.09</v>
      </c>
      <c r="D56" s="1" t="s">
        <v>308</v>
      </c>
      <c r="E56" s="44">
        <v>98690831.660999998</v>
      </c>
      <c r="F56" s="3">
        <v>1139556.04</v>
      </c>
      <c r="G56" s="1" t="s">
        <v>919</v>
      </c>
    </row>
    <row r="57" spans="1:7" s="2" customFormat="1" x14ac:dyDescent="0.2">
      <c r="A57" s="1" t="s">
        <v>302</v>
      </c>
      <c r="B57" s="3">
        <v>80348093.239999995</v>
      </c>
      <c r="C57" s="3">
        <v>87943023.379999995</v>
      </c>
      <c r="D57" s="1" t="s">
        <v>309</v>
      </c>
      <c r="E57" s="44">
        <v>85708947.523000002</v>
      </c>
      <c r="F57" s="3">
        <v>753285.12</v>
      </c>
      <c r="G57" s="1" t="s">
        <v>919</v>
      </c>
    </row>
    <row r="58" spans="1:7" s="2" customFormat="1" x14ac:dyDescent="0.2">
      <c r="A58" s="1" t="s">
        <v>310</v>
      </c>
      <c r="B58" s="3">
        <v>0</v>
      </c>
      <c r="C58" s="3">
        <v>-31745.26</v>
      </c>
      <c r="D58" s="1" t="s">
        <v>311</v>
      </c>
      <c r="E58" s="44">
        <v>53905368.063000001</v>
      </c>
      <c r="F58" s="3">
        <v>-115071.99</v>
      </c>
      <c r="G58" s="1" t="s">
        <v>919</v>
      </c>
    </row>
    <row r="59" spans="1:7" s="2" customFormat="1" x14ac:dyDescent="0.2">
      <c r="A59" s="1" t="s">
        <v>312</v>
      </c>
      <c r="B59" s="3">
        <v>0</v>
      </c>
      <c r="C59" s="3">
        <v>-36336.300000000003</v>
      </c>
      <c r="D59" s="1" t="s">
        <v>313</v>
      </c>
      <c r="E59" s="44">
        <v>42542229.288000003</v>
      </c>
      <c r="F59" s="3">
        <v>27701.49</v>
      </c>
      <c r="G59" s="1" t="s">
        <v>919</v>
      </c>
    </row>
    <row r="60" spans="1:7" s="2" customFormat="1" x14ac:dyDescent="0.2">
      <c r="A60" s="1" t="s">
        <v>314</v>
      </c>
      <c r="B60" s="3">
        <v>0</v>
      </c>
      <c r="C60" s="3">
        <v>33668191.57</v>
      </c>
      <c r="D60" s="1" t="s">
        <v>440</v>
      </c>
      <c r="E60" s="44">
        <v>46951553.902999997</v>
      </c>
      <c r="F60" s="3">
        <v>-281995.12</v>
      </c>
      <c r="G60" s="1" t="s">
        <v>919</v>
      </c>
    </row>
    <row r="61" spans="1:7" s="2" customFormat="1" x14ac:dyDescent="0.2">
      <c r="A61" s="1" t="s">
        <v>315</v>
      </c>
      <c r="B61" s="3">
        <v>0</v>
      </c>
      <c r="C61" s="3">
        <v>2037393.94</v>
      </c>
      <c r="D61" s="1" t="s">
        <v>316</v>
      </c>
      <c r="E61" s="44">
        <v>41288693.348999999</v>
      </c>
      <c r="F61" s="3">
        <v>-137081.94</v>
      </c>
      <c r="G61" s="1" t="s">
        <v>919</v>
      </c>
    </row>
    <row r="62" spans="1:7" s="2" customFormat="1" x14ac:dyDescent="0.2">
      <c r="A62" s="1" t="s">
        <v>317</v>
      </c>
      <c r="B62" s="3">
        <v>0</v>
      </c>
      <c r="C62" s="3">
        <v>1520686.72</v>
      </c>
      <c r="D62" s="1" t="s">
        <v>441</v>
      </c>
      <c r="E62" s="44">
        <v>69689708.464000002</v>
      </c>
      <c r="F62" s="3">
        <v>99391.3</v>
      </c>
      <c r="G62" s="1" t="s">
        <v>919</v>
      </c>
    </row>
    <row r="63" spans="1:7" s="2" customFormat="1" x14ac:dyDescent="0.2">
      <c r="A63" s="1" t="s">
        <v>342</v>
      </c>
      <c r="B63" s="3">
        <v>0</v>
      </c>
      <c r="C63" s="3">
        <v>314555.64</v>
      </c>
      <c r="D63" s="1" t="s">
        <v>442</v>
      </c>
      <c r="E63" s="44">
        <v>3561383.1469999999</v>
      </c>
      <c r="F63" s="3">
        <v>78451</v>
      </c>
      <c r="G63" s="1" t="s">
        <v>919</v>
      </c>
    </row>
    <row r="64" spans="1:7" s="2" customFormat="1" x14ac:dyDescent="0.2">
      <c r="A64" s="1" t="s">
        <v>343</v>
      </c>
      <c r="B64" s="3">
        <v>0</v>
      </c>
      <c r="C64" s="3">
        <v>117019.87</v>
      </c>
      <c r="D64" s="1" t="s">
        <v>443</v>
      </c>
      <c r="E64" s="44">
        <v>5876412.5130000003</v>
      </c>
      <c r="F64" s="3">
        <v>-17232.03</v>
      </c>
      <c r="G64" s="1" t="s">
        <v>919</v>
      </c>
    </row>
    <row r="65" spans="1:7" s="2" customFormat="1" x14ac:dyDescent="0.2">
      <c r="A65" s="1" t="s">
        <v>63</v>
      </c>
      <c r="B65" s="3">
        <v>0</v>
      </c>
      <c r="C65" s="3">
        <v>1412648.33</v>
      </c>
      <c r="D65" s="1" t="s">
        <v>444</v>
      </c>
      <c r="E65" s="44">
        <v>39327668.824000001</v>
      </c>
      <c r="F65" s="3">
        <v>174042.16</v>
      </c>
      <c r="G65" s="1" t="s">
        <v>919</v>
      </c>
    </row>
    <row r="66" spans="1:7" s="2" customFormat="1" x14ac:dyDescent="0.2">
      <c r="A66" s="1" t="s">
        <v>64</v>
      </c>
      <c r="B66" s="3">
        <v>0</v>
      </c>
      <c r="C66" s="3">
        <v>1523444.54</v>
      </c>
      <c r="D66" s="1" t="s">
        <v>445</v>
      </c>
      <c r="E66" s="44">
        <v>37747735.634999998</v>
      </c>
      <c r="F66" s="3">
        <v>-659608.05000000005</v>
      </c>
      <c r="G66" s="1" t="s">
        <v>919</v>
      </c>
    </row>
    <row r="67" spans="1:7" s="2" customFormat="1" x14ac:dyDescent="0.2">
      <c r="A67" s="1" t="s">
        <v>65</v>
      </c>
      <c r="B67" s="3">
        <v>0</v>
      </c>
      <c r="C67" s="3">
        <v>4949064.21</v>
      </c>
      <c r="D67" s="1" t="s">
        <v>446</v>
      </c>
      <c r="E67" s="44">
        <v>39333868.877999999</v>
      </c>
      <c r="F67" s="3">
        <v>321902.09999999998</v>
      </c>
      <c r="G67" s="1" t="s">
        <v>919</v>
      </c>
    </row>
    <row r="68" spans="1:7" s="2" customFormat="1" x14ac:dyDescent="0.2">
      <c r="A68" s="1" t="s">
        <v>66</v>
      </c>
      <c r="B68" s="3">
        <v>0</v>
      </c>
      <c r="C68" s="3">
        <v>405132.84</v>
      </c>
      <c r="D68" s="1" t="s">
        <v>110</v>
      </c>
      <c r="E68" s="44">
        <v>12188620.834000001</v>
      </c>
      <c r="F68" s="3">
        <v>119815.75</v>
      </c>
      <c r="G68" s="1" t="s">
        <v>919</v>
      </c>
    </row>
    <row r="69" spans="1:7" s="2" customFormat="1" x14ac:dyDescent="0.2">
      <c r="A69" s="1" t="s">
        <v>67</v>
      </c>
      <c r="B69" s="3">
        <v>0</v>
      </c>
      <c r="C69" s="3">
        <v>3329513.33</v>
      </c>
      <c r="D69" s="1" t="s">
        <v>119</v>
      </c>
      <c r="E69" s="44">
        <v>45283635.913999997</v>
      </c>
      <c r="F69" s="3">
        <v>487020.69</v>
      </c>
      <c r="G69" s="1" t="s">
        <v>919</v>
      </c>
    </row>
    <row r="70" spans="1:7" s="2" customFormat="1" x14ac:dyDescent="0.2">
      <c r="A70" s="1" t="s">
        <v>68</v>
      </c>
      <c r="B70" s="3">
        <v>0</v>
      </c>
      <c r="C70" s="3">
        <v>3843507.81</v>
      </c>
      <c r="D70" s="1" t="s">
        <v>118</v>
      </c>
      <c r="E70" s="44">
        <v>50521975.979999997</v>
      </c>
      <c r="F70" s="3">
        <v>560977.56999999995</v>
      </c>
      <c r="G70" s="1" t="s">
        <v>919</v>
      </c>
    </row>
    <row r="71" spans="1:7" s="2" customFormat="1" x14ac:dyDescent="0.2">
      <c r="A71" s="1" t="s">
        <v>69</v>
      </c>
      <c r="B71" s="3">
        <v>0</v>
      </c>
      <c r="C71" s="3">
        <v>674297.55</v>
      </c>
      <c r="D71" s="1" t="s">
        <v>125</v>
      </c>
      <c r="E71" s="44">
        <v>15094413.392000001</v>
      </c>
      <c r="F71" s="3">
        <v>179410.62</v>
      </c>
      <c r="G71" s="1" t="s">
        <v>919</v>
      </c>
    </row>
    <row r="72" spans="1:7" s="2" customFormat="1" x14ac:dyDescent="0.2">
      <c r="A72" s="1" t="s">
        <v>70</v>
      </c>
      <c r="B72" s="3">
        <v>0</v>
      </c>
      <c r="C72" s="3">
        <v>52019.26</v>
      </c>
      <c r="D72" s="1" t="s">
        <v>447</v>
      </c>
      <c r="E72" s="44">
        <v>14870805.401000001</v>
      </c>
      <c r="F72" s="3">
        <v>4401.8100000000004</v>
      </c>
      <c r="G72" s="1" t="s">
        <v>919</v>
      </c>
    </row>
    <row r="73" spans="1:7" s="2" customFormat="1" x14ac:dyDescent="0.2">
      <c r="A73" s="1" t="s">
        <v>71</v>
      </c>
      <c r="B73" s="3">
        <v>0</v>
      </c>
      <c r="C73" s="3">
        <v>-662311.22</v>
      </c>
      <c r="D73" s="1" t="s">
        <v>82</v>
      </c>
      <c r="E73" s="44">
        <v>48023710.483999997</v>
      </c>
      <c r="F73" s="3">
        <v>454476.65</v>
      </c>
      <c r="G73" s="1" t="s">
        <v>919</v>
      </c>
    </row>
    <row r="74" spans="1:7" s="2" customFormat="1" x14ac:dyDescent="0.2">
      <c r="A74" s="1" t="s">
        <v>72</v>
      </c>
      <c r="B74" s="3">
        <v>0</v>
      </c>
      <c r="C74" s="3">
        <v>2183596.64</v>
      </c>
      <c r="D74" s="1" t="s">
        <v>83</v>
      </c>
      <c r="E74" s="44">
        <v>98171488.559</v>
      </c>
      <c r="F74" s="3">
        <v>1039480.63</v>
      </c>
      <c r="G74" s="1" t="s">
        <v>919</v>
      </c>
    </row>
    <row r="75" spans="1:7" s="2" customFormat="1" x14ac:dyDescent="0.2">
      <c r="A75" s="1" t="s">
        <v>73</v>
      </c>
      <c r="B75" s="3">
        <v>0</v>
      </c>
      <c r="C75" s="3">
        <v>1861430.29</v>
      </c>
      <c r="D75" s="1" t="s">
        <v>84</v>
      </c>
      <c r="E75" s="44">
        <v>220448829.32100001</v>
      </c>
      <c r="F75" s="3">
        <v>-503899.22</v>
      </c>
      <c r="G75" s="1" t="s">
        <v>919</v>
      </c>
    </row>
    <row r="76" spans="1:7" s="2" customFormat="1" x14ac:dyDescent="0.2">
      <c r="A76" s="1" t="s">
        <v>42</v>
      </c>
      <c r="B76" s="3">
        <v>0</v>
      </c>
      <c r="C76" s="3">
        <v>1482422.47</v>
      </c>
      <c r="D76" s="1" t="s">
        <v>43</v>
      </c>
      <c r="E76" s="44">
        <v>202330202.884</v>
      </c>
      <c r="F76" s="3">
        <v>-879110.03</v>
      </c>
      <c r="G76" s="1" t="s">
        <v>919</v>
      </c>
    </row>
    <row r="77" spans="1:7" s="2" customFormat="1" x14ac:dyDescent="0.2">
      <c r="A77" s="1" t="s">
        <v>74</v>
      </c>
      <c r="B77" s="3">
        <v>0</v>
      </c>
      <c r="C77" s="3">
        <v>2342980.41</v>
      </c>
      <c r="D77" s="1" t="s">
        <v>85</v>
      </c>
      <c r="E77" s="44">
        <v>143013181.11399999</v>
      </c>
      <c r="F77" s="3">
        <v>-293202.15000000002</v>
      </c>
      <c r="G77" s="1" t="s">
        <v>919</v>
      </c>
    </row>
    <row r="78" spans="1:7" s="2" customFormat="1" x14ac:dyDescent="0.2">
      <c r="A78" s="1" t="s">
        <v>75</v>
      </c>
      <c r="B78" s="3">
        <v>0</v>
      </c>
      <c r="C78" s="3">
        <v>2202804.19</v>
      </c>
      <c r="D78" s="1" t="s">
        <v>86</v>
      </c>
      <c r="E78" s="44">
        <v>239584304.609</v>
      </c>
      <c r="F78" s="3">
        <v>-413924.9</v>
      </c>
      <c r="G78" s="1" t="s">
        <v>919</v>
      </c>
    </row>
    <row r="79" spans="1:7" s="2" customFormat="1" x14ac:dyDescent="0.2">
      <c r="A79" s="1" t="s">
        <v>76</v>
      </c>
      <c r="B79" s="3">
        <v>0</v>
      </c>
      <c r="C79" s="3">
        <v>1831713.96</v>
      </c>
      <c r="D79" s="1" t="s">
        <v>448</v>
      </c>
      <c r="E79" s="44">
        <v>40392431.467</v>
      </c>
      <c r="F79" s="3">
        <v>66468.59</v>
      </c>
      <c r="G79" s="1" t="s">
        <v>919</v>
      </c>
    </row>
    <row r="80" spans="1:7" s="2" customFormat="1" x14ac:dyDescent="0.2">
      <c r="A80" s="1" t="s">
        <v>77</v>
      </c>
      <c r="B80" s="3">
        <v>0</v>
      </c>
      <c r="C80" s="3">
        <v>5373459.5800000001</v>
      </c>
      <c r="D80" s="1" t="s">
        <v>449</v>
      </c>
      <c r="E80" s="44">
        <v>58190126.729000002</v>
      </c>
      <c r="F80" s="3">
        <v>-179933.11</v>
      </c>
      <c r="G80" s="1" t="s">
        <v>919</v>
      </c>
    </row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pans="1:9" s="2" customFormat="1" x14ac:dyDescent="0.2">
      <c r="A145" s="3"/>
      <c r="B145" s="1"/>
    </row>
    <row r="146" spans="1:9" s="2" customFormat="1" x14ac:dyDescent="0.2">
      <c r="A146" s="3"/>
      <c r="B146" s="1"/>
    </row>
    <row r="147" spans="1:9" s="2" customFormat="1" x14ac:dyDescent="0.2">
      <c r="A147" s="3"/>
      <c r="B147" s="1"/>
    </row>
    <row r="148" spans="1:9" s="2" customFormat="1" x14ac:dyDescent="0.2">
      <c r="A148" s="3"/>
      <c r="B148" s="1"/>
    </row>
    <row r="149" spans="1:9" s="2" customFormat="1" x14ac:dyDescent="0.2">
      <c r="A149" s="3"/>
      <c r="B149" s="1"/>
    </row>
    <row r="150" spans="1:9" s="2" customFormat="1" x14ac:dyDescent="0.2">
      <c r="A150" s="3"/>
      <c r="B150" s="1"/>
    </row>
    <row r="151" spans="1:9" s="2" customFormat="1" x14ac:dyDescent="0.2">
      <c r="A151" s="26"/>
      <c r="C151" s="5"/>
      <c r="D151" s="5"/>
      <c r="E151" s="7"/>
      <c r="F151" s="7"/>
      <c r="G151" s="55"/>
      <c r="H151" s="3"/>
      <c r="I151" s="1"/>
    </row>
    <row r="152" spans="1:9" s="2" customFormat="1" x14ac:dyDescent="0.2">
      <c r="A152" s="26"/>
      <c r="C152" s="5"/>
      <c r="D152" s="5"/>
      <c r="E152" s="7"/>
      <c r="F152" s="7"/>
      <c r="G152" s="55"/>
      <c r="H152" s="3"/>
      <c r="I152" s="1"/>
    </row>
    <row r="153" spans="1:9" s="2" customFormat="1" x14ac:dyDescent="0.2">
      <c r="A153" s="26"/>
      <c r="C153" s="5"/>
      <c r="D153" s="5"/>
      <c r="E153" s="7"/>
      <c r="F153" s="7"/>
      <c r="G153" s="55"/>
      <c r="H153" s="3"/>
      <c r="I153" s="1"/>
    </row>
    <row r="154" spans="1:9" s="2" customFormat="1" x14ac:dyDescent="0.2">
      <c r="A154" s="26"/>
      <c r="C154" s="5"/>
      <c r="D154" s="5"/>
      <c r="E154" s="7"/>
      <c r="F154" s="7"/>
      <c r="G154" s="55"/>
      <c r="H154" s="3"/>
      <c r="I154" s="1"/>
    </row>
    <row r="155" spans="1:9" s="2" customFormat="1" x14ac:dyDescent="0.2">
      <c r="A155" s="26"/>
      <c r="C155" s="5"/>
      <c r="D155" s="5"/>
      <c r="E155" s="7"/>
      <c r="F155" s="7"/>
      <c r="G155" s="55"/>
      <c r="H155" s="3"/>
      <c r="I155" s="1"/>
    </row>
    <row r="156" spans="1:9" s="2" customFormat="1" x14ac:dyDescent="0.2">
      <c r="A156" s="26"/>
      <c r="C156" s="5"/>
      <c r="D156" s="5"/>
      <c r="E156" s="7"/>
      <c r="F156" s="7"/>
      <c r="G156" s="55"/>
      <c r="H156" s="3"/>
      <c r="I156" s="1"/>
    </row>
    <row r="157" spans="1:9" s="2" customFormat="1" x14ac:dyDescent="0.2">
      <c r="A157" s="26"/>
      <c r="C157" s="5"/>
      <c r="D157" s="5"/>
      <c r="E157" s="7"/>
      <c r="F157" s="7"/>
      <c r="G157" s="55"/>
      <c r="H157" s="3"/>
      <c r="I157" s="1"/>
    </row>
    <row r="158" spans="1:9" s="2" customFormat="1" x14ac:dyDescent="0.2">
      <c r="A158" s="26"/>
      <c r="C158" s="5"/>
      <c r="D158" s="5"/>
      <c r="E158" s="7"/>
      <c r="F158" s="7"/>
      <c r="G158" s="55"/>
      <c r="H158" s="3"/>
      <c r="I158" s="1"/>
    </row>
    <row r="159" spans="1:9" s="2" customFormat="1" x14ac:dyDescent="0.2">
      <c r="A159" s="26"/>
      <c r="C159" s="5"/>
      <c r="D159" s="5"/>
      <c r="E159" s="7"/>
      <c r="F159" s="7"/>
      <c r="G159" s="55"/>
      <c r="H159" s="3"/>
      <c r="I159" s="1"/>
    </row>
    <row r="160" spans="1:9" s="2" customFormat="1" x14ac:dyDescent="0.2">
      <c r="A160" s="26"/>
      <c r="C160" s="5"/>
      <c r="D160" s="5"/>
      <c r="E160" s="7"/>
      <c r="F160" s="7"/>
      <c r="G160" s="55"/>
      <c r="H160" s="3"/>
      <c r="I160" s="1"/>
    </row>
    <row r="161" spans="1:9" s="2" customFormat="1" x14ac:dyDescent="0.2">
      <c r="A161" s="26"/>
      <c r="C161" s="5"/>
      <c r="D161" s="5"/>
      <c r="E161" s="7"/>
      <c r="F161" s="7"/>
      <c r="G161" s="55"/>
      <c r="H161" s="3"/>
      <c r="I161" s="1"/>
    </row>
    <row r="162" spans="1:9" s="2" customFormat="1" x14ac:dyDescent="0.2">
      <c r="A162" s="26"/>
      <c r="C162" s="5"/>
      <c r="D162" s="5"/>
      <c r="E162" s="7"/>
      <c r="F162" s="7"/>
      <c r="G162" s="55"/>
      <c r="H162" s="3"/>
      <c r="I162" s="1"/>
    </row>
    <row r="163" spans="1:9" s="2" customFormat="1" x14ac:dyDescent="0.2">
      <c r="A163" s="26"/>
      <c r="C163" s="5"/>
      <c r="D163" s="5"/>
      <c r="E163" s="7"/>
      <c r="F163" s="7"/>
      <c r="G163" s="55"/>
      <c r="H163" s="3"/>
      <c r="I163" s="1"/>
    </row>
    <row r="164" spans="1:9" s="2" customFormat="1" x14ac:dyDescent="0.2">
      <c r="A164" s="26"/>
      <c r="C164" s="5"/>
      <c r="D164" s="5"/>
      <c r="E164" s="7"/>
      <c r="F164" s="7"/>
      <c r="G164" s="55"/>
      <c r="H164" s="3"/>
      <c r="I164" s="1"/>
    </row>
    <row r="165" spans="1:9" s="2" customFormat="1" x14ac:dyDescent="0.2">
      <c r="A165" s="26"/>
      <c r="C165" s="5"/>
      <c r="D165" s="5"/>
      <c r="E165" s="7"/>
      <c r="F165" s="7"/>
      <c r="G165" s="55"/>
      <c r="H165" s="3"/>
      <c r="I165" s="1"/>
    </row>
    <row r="166" spans="1:9" s="2" customFormat="1" x14ac:dyDescent="0.2">
      <c r="A166" s="26"/>
      <c r="C166" s="5"/>
      <c r="D166" s="5"/>
      <c r="E166" s="7"/>
      <c r="F166" s="7"/>
      <c r="G166" s="55"/>
      <c r="H166" s="3"/>
      <c r="I166" s="1"/>
    </row>
    <row r="167" spans="1:9" s="2" customFormat="1" x14ac:dyDescent="0.2">
      <c r="A167" s="26"/>
      <c r="C167" s="5"/>
      <c r="D167" s="5"/>
      <c r="E167" s="7"/>
      <c r="F167" s="7"/>
      <c r="G167" s="55"/>
      <c r="H167" s="3"/>
      <c r="I167" s="1"/>
    </row>
    <row r="168" spans="1:9" s="2" customFormat="1" x14ac:dyDescent="0.2">
      <c r="A168" s="26"/>
      <c r="C168" s="5"/>
      <c r="D168" s="5"/>
      <c r="E168" s="7"/>
      <c r="F168" s="7"/>
      <c r="G168" s="55"/>
      <c r="H168" s="3"/>
      <c r="I168" s="1"/>
    </row>
    <row r="169" spans="1:9" s="2" customFormat="1" x14ac:dyDescent="0.2">
      <c r="A169" s="26"/>
      <c r="C169" s="5"/>
      <c r="D169" s="5"/>
      <c r="E169" s="7"/>
      <c r="F169" s="7"/>
      <c r="G169" s="55"/>
      <c r="H169" s="3"/>
      <c r="I169" s="1"/>
    </row>
    <row r="170" spans="1:9" s="2" customFormat="1" x14ac:dyDescent="0.2">
      <c r="A170" s="26"/>
      <c r="C170" s="5"/>
      <c r="D170" s="5"/>
      <c r="E170" s="7"/>
      <c r="F170" s="7"/>
      <c r="G170" s="55"/>
      <c r="H170" s="3"/>
      <c r="I170" s="1"/>
    </row>
    <row r="171" spans="1:9" s="2" customFormat="1" x14ac:dyDescent="0.2">
      <c r="A171" s="26"/>
      <c r="C171" s="5"/>
      <c r="D171" s="5"/>
      <c r="E171" s="7"/>
      <c r="F171" s="7"/>
      <c r="G171" s="55"/>
      <c r="H171" s="3"/>
      <c r="I171" s="1"/>
    </row>
    <row r="172" spans="1:9" s="2" customFormat="1" x14ac:dyDescent="0.2">
      <c r="A172" s="26"/>
      <c r="C172" s="5"/>
      <c r="D172" s="5"/>
      <c r="E172" s="7"/>
      <c r="F172" s="7"/>
      <c r="G172" s="55"/>
      <c r="H172" s="3"/>
      <c r="I172" s="1"/>
    </row>
    <row r="173" spans="1:9" s="2" customFormat="1" x14ac:dyDescent="0.2">
      <c r="A173" s="26"/>
      <c r="C173" s="5"/>
      <c r="D173" s="5"/>
      <c r="E173" s="7"/>
      <c r="F173" s="7"/>
      <c r="G173" s="55"/>
      <c r="H173" s="3"/>
      <c r="I173" s="1"/>
    </row>
    <row r="174" spans="1:9" s="2" customFormat="1" x14ac:dyDescent="0.2">
      <c r="A174" s="26"/>
      <c r="C174" s="5"/>
      <c r="D174" s="5"/>
      <c r="E174" s="7"/>
      <c r="F174" s="7"/>
      <c r="G174" s="55"/>
      <c r="H174" s="3"/>
      <c r="I174" s="1"/>
    </row>
    <row r="175" spans="1:9" s="2" customFormat="1" x14ac:dyDescent="0.2">
      <c r="A175" s="26"/>
      <c r="C175" s="5"/>
      <c r="D175" s="5"/>
      <c r="E175" s="7"/>
      <c r="F175" s="7"/>
      <c r="G175" s="55"/>
      <c r="H175" s="3"/>
      <c r="I175" s="1"/>
    </row>
    <row r="176" spans="1:9" s="2" customFormat="1" x14ac:dyDescent="0.2">
      <c r="A176" s="26"/>
      <c r="C176" s="5"/>
      <c r="D176" s="5"/>
      <c r="E176" s="7"/>
      <c r="F176" s="7"/>
      <c r="G176" s="55"/>
      <c r="H176" s="3"/>
      <c r="I176" s="1"/>
    </row>
    <row r="177" spans="1:9" s="2" customFormat="1" x14ac:dyDescent="0.2">
      <c r="A177" s="26"/>
      <c r="C177" s="5"/>
      <c r="D177" s="5"/>
      <c r="E177" s="7"/>
      <c r="F177" s="7"/>
      <c r="G177" s="55"/>
      <c r="H177" s="3"/>
      <c r="I177" s="1"/>
    </row>
    <row r="178" spans="1:9" s="2" customFormat="1" x14ac:dyDescent="0.2">
      <c r="A178" s="26"/>
      <c r="C178" s="5"/>
      <c r="D178" s="5"/>
      <c r="E178" s="7"/>
      <c r="F178" s="7"/>
      <c r="G178" s="55"/>
      <c r="H178" s="3"/>
      <c r="I178" s="1"/>
    </row>
    <row r="179" spans="1:9" s="2" customFormat="1" x14ac:dyDescent="0.2">
      <c r="A179" s="26"/>
      <c r="C179" s="5"/>
      <c r="D179" s="5"/>
      <c r="E179" s="7"/>
      <c r="F179" s="7"/>
      <c r="G179" s="55"/>
      <c r="H179" s="3"/>
      <c r="I179" s="1"/>
    </row>
    <row r="180" spans="1:9" s="2" customFormat="1" x14ac:dyDescent="0.2">
      <c r="A180" s="26"/>
      <c r="C180" s="5"/>
      <c r="D180" s="5"/>
      <c r="E180" s="7"/>
      <c r="F180" s="7"/>
      <c r="G180" s="55"/>
      <c r="H180" s="3"/>
      <c r="I180" s="1"/>
    </row>
    <row r="181" spans="1:9" s="2" customFormat="1" x14ac:dyDescent="0.2">
      <c r="A181" s="26"/>
      <c r="C181" s="5"/>
      <c r="D181" s="5"/>
      <c r="E181" s="7"/>
      <c r="F181" s="7"/>
      <c r="G181" s="55"/>
      <c r="H181" s="3"/>
      <c r="I181" s="1"/>
    </row>
    <row r="182" spans="1:9" s="2" customFormat="1" x14ac:dyDescent="0.2">
      <c r="A182" s="26"/>
      <c r="C182" s="5"/>
      <c r="D182" s="5"/>
      <c r="E182" s="7"/>
      <c r="F182" s="7"/>
      <c r="G182" s="55"/>
      <c r="H182" s="3"/>
      <c r="I182" s="1"/>
    </row>
    <row r="183" spans="1:9" s="2" customFormat="1" x14ac:dyDescent="0.2">
      <c r="A183" s="26"/>
      <c r="C183" s="5"/>
      <c r="D183" s="5"/>
      <c r="E183" s="7"/>
      <c r="F183" s="7"/>
      <c r="G183" s="55"/>
      <c r="H183" s="3"/>
      <c r="I183" s="1"/>
    </row>
    <row r="184" spans="1:9" s="2" customFormat="1" x14ac:dyDescent="0.2">
      <c r="A184" s="26"/>
      <c r="C184" s="5"/>
      <c r="D184" s="5"/>
      <c r="E184" s="7"/>
      <c r="F184" s="7"/>
      <c r="G184" s="55"/>
      <c r="H184" s="3"/>
      <c r="I184" s="1"/>
    </row>
    <row r="185" spans="1:9" s="2" customFormat="1" x14ac:dyDescent="0.2">
      <c r="A185" s="26"/>
      <c r="C185" s="5"/>
      <c r="D185" s="5"/>
      <c r="E185" s="7"/>
      <c r="F185" s="7"/>
      <c r="G185" s="55"/>
      <c r="H185" s="3"/>
      <c r="I185" s="1"/>
    </row>
    <row r="186" spans="1:9" s="2" customFormat="1" x14ac:dyDescent="0.2">
      <c r="A186" s="26"/>
      <c r="C186" s="5"/>
      <c r="D186" s="5"/>
      <c r="E186" s="7"/>
      <c r="F186" s="7"/>
      <c r="G186" s="55"/>
      <c r="H186" s="3"/>
      <c r="I186" s="1"/>
    </row>
    <row r="187" spans="1:9" s="2" customFormat="1" x14ac:dyDescent="0.2">
      <c r="A187" s="26"/>
      <c r="C187" s="5"/>
      <c r="D187" s="5"/>
      <c r="E187" s="7"/>
      <c r="F187" s="7"/>
      <c r="G187" s="55"/>
      <c r="H187" s="3"/>
      <c r="I187" s="1"/>
    </row>
    <row r="188" spans="1:9" s="2" customFormat="1" x14ac:dyDescent="0.2">
      <c r="A188" s="26"/>
      <c r="C188" s="5"/>
      <c r="D188" s="5"/>
      <c r="E188" s="7"/>
      <c r="F188" s="7"/>
      <c r="G188" s="55"/>
      <c r="H188" s="3"/>
      <c r="I188" s="1"/>
    </row>
    <row r="189" spans="1:9" s="2" customFormat="1" x14ac:dyDescent="0.2">
      <c r="A189" s="26"/>
      <c r="C189" s="5"/>
      <c r="D189" s="5"/>
      <c r="E189" s="7"/>
      <c r="F189" s="7"/>
      <c r="G189" s="55"/>
      <c r="H189" s="3"/>
      <c r="I189" s="1"/>
    </row>
    <row r="190" spans="1:9" s="2" customFormat="1" x14ac:dyDescent="0.2">
      <c r="A190" s="26"/>
      <c r="C190" s="5"/>
      <c r="D190" s="5"/>
      <c r="E190" s="7"/>
      <c r="F190" s="7"/>
      <c r="G190" s="55"/>
      <c r="H190" s="3"/>
      <c r="I190" s="1"/>
    </row>
    <row r="191" spans="1:9" s="2" customFormat="1" x14ac:dyDescent="0.2">
      <c r="A191" s="26"/>
      <c r="C191" s="5"/>
      <c r="D191" s="5"/>
      <c r="E191" s="7"/>
      <c r="F191" s="7"/>
      <c r="G191" s="55"/>
      <c r="H191" s="3"/>
      <c r="I191" s="1"/>
    </row>
    <row r="192" spans="1:9" s="2" customFormat="1" x14ac:dyDescent="0.2">
      <c r="A192" s="26"/>
      <c r="C192" s="5"/>
      <c r="D192" s="5"/>
      <c r="E192" s="7"/>
      <c r="F192" s="7"/>
      <c r="G192" s="55"/>
      <c r="H192" s="3"/>
      <c r="I192" s="1"/>
    </row>
    <row r="193" spans="1:9" s="2" customFormat="1" x14ac:dyDescent="0.2">
      <c r="A193" s="26"/>
      <c r="C193" s="5"/>
      <c r="D193" s="5"/>
      <c r="E193" s="7"/>
      <c r="F193" s="7"/>
      <c r="G193" s="55"/>
      <c r="H193" s="3"/>
      <c r="I193" s="1"/>
    </row>
    <row r="194" spans="1:9" s="2" customFormat="1" x14ac:dyDescent="0.2">
      <c r="A194" s="26"/>
      <c r="C194" s="5"/>
      <c r="D194" s="5"/>
      <c r="E194" s="7"/>
      <c r="F194" s="7"/>
      <c r="G194" s="55"/>
      <c r="H194" s="3"/>
      <c r="I194" s="1"/>
    </row>
    <row r="195" spans="1:9" s="2" customFormat="1" x14ac:dyDescent="0.2">
      <c r="A195" s="26"/>
      <c r="C195" s="5"/>
      <c r="D195" s="5"/>
      <c r="E195" s="7"/>
      <c r="F195" s="7"/>
      <c r="G195" s="55"/>
      <c r="H195" s="3"/>
      <c r="I195" s="1"/>
    </row>
    <row r="196" spans="1:9" s="2" customFormat="1" x14ac:dyDescent="0.2">
      <c r="A196" s="26"/>
      <c r="C196" s="5"/>
      <c r="D196" s="5"/>
      <c r="E196" s="7"/>
      <c r="F196" s="7"/>
      <c r="G196" s="55"/>
      <c r="H196" s="3"/>
      <c r="I196" s="1"/>
    </row>
    <row r="197" spans="1:9" s="2" customFormat="1" x14ac:dyDescent="0.2">
      <c r="A197" s="26"/>
      <c r="C197" s="5"/>
      <c r="D197" s="5"/>
      <c r="E197" s="7"/>
      <c r="F197" s="7"/>
      <c r="G197" s="55"/>
      <c r="H197" s="3"/>
      <c r="I197" s="1"/>
    </row>
    <row r="198" spans="1:9" s="2" customFormat="1" x14ac:dyDescent="0.2">
      <c r="A198" s="26"/>
      <c r="C198" s="5"/>
      <c r="D198" s="5"/>
      <c r="E198" s="7"/>
      <c r="F198" s="7"/>
      <c r="G198" s="55"/>
      <c r="H198" s="3"/>
      <c r="I198" s="1"/>
    </row>
    <row r="199" spans="1:9" s="2" customFormat="1" x14ac:dyDescent="0.2">
      <c r="A199" s="26"/>
      <c r="C199" s="5"/>
      <c r="D199" s="5"/>
      <c r="E199" s="7"/>
      <c r="F199" s="7"/>
      <c r="G199" s="55"/>
      <c r="H199" s="3"/>
      <c r="I199" s="1"/>
    </row>
    <row r="200" spans="1:9" s="2" customFormat="1" x14ac:dyDescent="0.2">
      <c r="A200" s="26"/>
      <c r="C200" s="5"/>
      <c r="D200" s="5"/>
      <c r="E200" s="7"/>
      <c r="F200" s="7"/>
      <c r="G200" s="55"/>
      <c r="H200" s="3"/>
      <c r="I200" s="1"/>
    </row>
    <row r="201" spans="1:9" s="2" customFormat="1" x14ac:dyDescent="0.2">
      <c r="A201" s="26"/>
      <c r="C201" s="5"/>
      <c r="D201" s="5"/>
      <c r="E201" s="7"/>
      <c r="F201" s="7"/>
      <c r="G201" s="55"/>
      <c r="H201" s="3"/>
      <c r="I201" s="1"/>
    </row>
    <row r="202" spans="1:9" s="2" customFormat="1" x14ac:dyDescent="0.2">
      <c r="A202" s="26"/>
      <c r="C202" s="5"/>
      <c r="D202" s="5"/>
      <c r="E202" s="7"/>
      <c r="F202" s="7"/>
      <c r="G202" s="55"/>
      <c r="H202" s="3"/>
      <c r="I202" s="1"/>
    </row>
    <row r="203" spans="1:9" s="2" customFormat="1" x14ac:dyDescent="0.2">
      <c r="A203" s="26"/>
      <c r="C203" s="5"/>
      <c r="D203" s="5"/>
      <c r="E203" s="7"/>
      <c r="F203" s="7"/>
      <c r="G203" s="55"/>
      <c r="H203" s="3"/>
      <c r="I203" s="1"/>
    </row>
    <row r="204" spans="1:9" s="2" customFormat="1" x14ac:dyDescent="0.2">
      <c r="A204" s="26"/>
      <c r="C204" s="5"/>
      <c r="D204" s="5"/>
      <c r="E204" s="7"/>
      <c r="F204" s="7"/>
      <c r="G204" s="55"/>
      <c r="H204" s="3"/>
      <c r="I204" s="1"/>
    </row>
    <row r="205" spans="1:9" s="2" customFormat="1" x14ac:dyDescent="0.2">
      <c r="A205" s="26"/>
      <c r="C205" s="5"/>
      <c r="D205" s="5"/>
      <c r="E205" s="7"/>
      <c r="F205" s="7"/>
      <c r="G205" s="55"/>
      <c r="H205" s="3"/>
      <c r="I205" s="1"/>
    </row>
    <row r="206" spans="1:9" s="2" customFormat="1" x14ac:dyDescent="0.2">
      <c r="A206" s="26"/>
      <c r="C206" s="5"/>
      <c r="D206" s="5"/>
      <c r="E206" s="7"/>
      <c r="F206" s="7"/>
      <c r="G206" s="55"/>
      <c r="H206" s="3"/>
      <c r="I206" s="1"/>
    </row>
    <row r="207" spans="1:9" s="2" customFormat="1" x14ac:dyDescent="0.2">
      <c r="A207" s="26"/>
      <c r="C207" s="5"/>
      <c r="D207" s="5"/>
      <c r="E207" s="7"/>
      <c r="F207" s="7"/>
      <c r="G207" s="55"/>
      <c r="H207" s="3"/>
      <c r="I207" s="1"/>
    </row>
    <row r="208" spans="1:9" s="2" customFormat="1" x14ac:dyDescent="0.2">
      <c r="A208" s="26"/>
      <c r="C208" s="5"/>
      <c r="D208" s="5"/>
      <c r="E208" s="7"/>
      <c r="F208" s="7"/>
      <c r="G208" s="55"/>
      <c r="H208" s="3"/>
      <c r="I208" s="1"/>
    </row>
    <row r="209" spans="1:9" s="2" customFormat="1" x14ac:dyDescent="0.2">
      <c r="A209" s="26"/>
      <c r="C209" s="5"/>
      <c r="D209" s="5"/>
      <c r="E209" s="7"/>
      <c r="F209" s="7"/>
      <c r="G209" s="55"/>
      <c r="H209" s="3"/>
      <c r="I209" s="1"/>
    </row>
    <row r="210" spans="1:9" s="2" customFormat="1" x14ac:dyDescent="0.2">
      <c r="A210" s="26"/>
      <c r="C210" s="5"/>
      <c r="D210" s="5"/>
      <c r="E210" s="7"/>
      <c r="F210" s="7"/>
      <c r="G210" s="55"/>
      <c r="H210" s="3"/>
      <c r="I210" s="1"/>
    </row>
    <row r="211" spans="1:9" s="2" customFormat="1" x14ac:dyDescent="0.2">
      <c r="A211" s="26"/>
      <c r="C211" s="5"/>
      <c r="D211" s="5"/>
      <c r="E211" s="7"/>
      <c r="F211" s="7"/>
      <c r="G211" s="55"/>
      <c r="H211" s="3"/>
      <c r="I211" s="1"/>
    </row>
    <row r="212" spans="1:9" s="2" customFormat="1" x14ac:dyDescent="0.2">
      <c r="A212" s="26"/>
      <c r="C212" s="5"/>
      <c r="D212" s="5"/>
      <c r="E212" s="7"/>
      <c r="F212" s="7"/>
      <c r="G212" s="55"/>
      <c r="H212" s="3"/>
      <c r="I212" s="1"/>
    </row>
    <row r="213" spans="1:9" s="2" customFormat="1" x14ac:dyDescent="0.2">
      <c r="A213" s="26"/>
      <c r="C213" s="5"/>
      <c r="D213" s="5"/>
      <c r="E213" s="7"/>
      <c r="F213" s="7"/>
      <c r="G213" s="55"/>
      <c r="H213" s="3"/>
      <c r="I213" s="1"/>
    </row>
    <row r="214" spans="1:9" s="2" customFormat="1" x14ac:dyDescent="0.2">
      <c r="A214" s="26"/>
      <c r="C214" s="5"/>
      <c r="D214" s="5"/>
      <c r="E214" s="7"/>
      <c r="F214" s="7"/>
      <c r="G214" s="55"/>
      <c r="H214" s="3"/>
      <c r="I214" s="1"/>
    </row>
    <row r="215" spans="1:9" s="2" customFormat="1" x14ac:dyDescent="0.2">
      <c r="A215" s="26"/>
      <c r="C215" s="5"/>
      <c r="D215" s="5"/>
      <c r="E215" s="7"/>
      <c r="F215" s="7"/>
      <c r="G215" s="55"/>
      <c r="H215" s="3"/>
      <c r="I215" s="1"/>
    </row>
    <row r="216" spans="1:9" s="2" customFormat="1" x14ac:dyDescent="0.2">
      <c r="A216" s="26"/>
      <c r="C216" s="5"/>
      <c r="D216" s="5"/>
      <c r="E216" s="7"/>
      <c r="F216" s="7"/>
      <c r="G216" s="55"/>
      <c r="H216" s="3"/>
      <c r="I216" s="1"/>
    </row>
    <row r="217" spans="1:9" s="2" customFormat="1" x14ac:dyDescent="0.2">
      <c r="A217" s="26"/>
      <c r="C217" s="5"/>
      <c r="D217" s="5"/>
      <c r="E217" s="7"/>
      <c r="F217" s="7"/>
      <c r="G217" s="55"/>
      <c r="H217" s="3"/>
      <c r="I217" s="1"/>
    </row>
    <row r="218" spans="1:9" s="2" customFormat="1" x14ac:dyDescent="0.2">
      <c r="A218" s="26"/>
      <c r="C218" s="5"/>
      <c r="D218" s="5"/>
      <c r="E218" s="7"/>
      <c r="F218" s="7"/>
      <c r="G218" s="55"/>
      <c r="H218" s="3"/>
      <c r="I218" s="1"/>
    </row>
    <row r="219" spans="1:9" s="2" customFormat="1" x14ac:dyDescent="0.2">
      <c r="A219" s="26"/>
      <c r="C219" s="5"/>
      <c r="D219" s="5"/>
      <c r="E219" s="7"/>
      <c r="F219" s="7"/>
      <c r="G219" s="55"/>
      <c r="H219" s="3"/>
      <c r="I219" s="1"/>
    </row>
    <row r="220" spans="1:9" s="2" customFormat="1" x14ac:dyDescent="0.2">
      <c r="A220" s="26"/>
      <c r="C220" s="5"/>
      <c r="D220" s="5"/>
      <c r="E220" s="7"/>
      <c r="F220" s="7"/>
      <c r="G220" s="55"/>
      <c r="H220" s="3"/>
      <c r="I220" s="1"/>
    </row>
    <row r="221" spans="1:9" s="2" customFormat="1" x14ac:dyDescent="0.2">
      <c r="A221" s="26"/>
      <c r="C221" s="5"/>
      <c r="D221" s="5"/>
      <c r="E221" s="7"/>
      <c r="F221" s="7"/>
      <c r="G221" s="55"/>
      <c r="H221" s="3"/>
      <c r="I221" s="1"/>
    </row>
    <row r="222" spans="1:9" s="2" customFormat="1" x14ac:dyDescent="0.2">
      <c r="A222" s="26"/>
      <c r="C222" s="5"/>
      <c r="D222" s="5"/>
      <c r="E222" s="7"/>
      <c r="F222" s="7"/>
      <c r="G222" s="55"/>
      <c r="H222" s="3"/>
      <c r="I222" s="1"/>
    </row>
    <row r="223" spans="1:9" s="2" customFormat="1" x14ac:dyDescent="0.2">
      <c r="A223" s="26"/>
      <c r="C223" s="5"/>
      <c r="D223" s="5"/>
      <c r="E223" s="7"/>
      <c r="F223" s="7"/>
      <c r="G223" s="55"/>
      <c r="H223" s="3"/>
      <c r="I223" s="1"/>
    </row>
    <row r="224" spans="1:9" s="2" customFormat="1" x14ac:dyDescent="0.2">
      <c r="A224" s="26"/>
      <c r="C224" s="5"/>
      <c r="D224" s="5"/>
      <c r="E224" s="7"/>
      <c r="F224" s="7"/>
      <c r="G224" s="55"/>
      <c r="H224" s="3"/>
      <c r="I224" s="1"/>
    </row>
    <row r="225" spans="1:9" s="2" customFormat="1" x14ac:dyDescent="0.2">
      <c r="A225" s="26"/>
      <c r="C225" s="5"/>
      <c r="D225" s="5"/>
      <c r="E225" s="7"/>
      <c r="F225" s="7"/>
      <c r="G225" s="55"/>
      <c r="H225" s="3"/>
      <c r="I225" s="1"/>
    </row>
    <row r="226" spans="1:9" s="2" customFormat="1" x14ac:dyDescent="0.2">
      <c r="A226" s="26"/>
      <c r="C226" s="5"/>
      <c r="D226" s="5"/>
      <c r="E226" s="7"/>
      <c r="F226" s="7"/>
      <c r="G226" s="55"/>
      <c r="H226" s="3"/>
      <c r="I226" s="1"/>
    </row>
    <row r="227" spans="1:9" s="2" customFormat="1" x14ac:dyDescent="0.2">
      <c r="A227" s="26"/>
      <c r="C227" s="5"/>
      <c r="D227" s="5"/>
      <c r="E227" s="7"/>
      <c r="F227" s="7"/>
      <c r="G227" s="55"/>
      <c r="H227" s="3"/>
      <c r="I227" s="1"/>
    </row>
    <row r="228" spans="1:9" s="2" customFormat="1" x14ac:dyDescent="0.2">
      <c r="A228" s="26"/>
      <c r="C228" s="5"/>
      <c r="D228" s="5"/>
      <c r="E228" s="7"/>
      <c r="F228" s="7"/>
      <c r="G228" s="55"/>
      <c r="H228" s="3"/>
      <c r="I228" s="1"/>
    </row>
    <row r="229" spans="1:9" s="2" customFormat="1" x14ac:dyDescent="0.2">
      <c r="A229" s="26"/>
      <c r="C229" s="5"/>
      <c r="D229" s="5"/>
      <c r="E229" s="7"/>
      <c r="F229" s="7"/>
      <c r="G229" s="55"/>
      <c r="H229" s="3"/>
      <c r="I229" s="1"/>
    </row>
    <row r="230" spans="1:9" s="2" customFormat="1" x14ac:dyDescent="0.2">
      <c r="A230" s="26"/>
      <c r="C230" s="5"/>
      <c r="D230" s="5"/>
      <c r="E230" s="7"/>
      <c r="F230" s="7"/>
      <c r="G230" s="55"/>
      <c r="H230" s="3"/>
      <c r="I230" s="1"/>
    </row>
    <row r="231" spans="1:9" s="2" customFormat="1" x14ac:dyDescent="0.2">
      <c r="A231" s="26"/>
      <c r="C231" s="5"/>
      <c r="D231" s="5"/>
      <c r="E231" s="7"/>
      <c r="F231" s="7"/>
      <c r="G231" s="55"/>
      <c r="H231" s="3"/>
      <c r="I231" s="1"/>
    </row>
    <row r="232" spans="1:9" s="2" customFormat="1" x14ac:dyDescent="0.2">
      <c r="A232" s="26"/>
      <c r="C232" s="5"/>
      <c r="D232" s="5"/>
      <c r="E232" s="7"/>
      <c r="F232" s="7"/>
      <c r="G232" s="55"/>
      <c r="H232" s="3"/>
      <c r="I232" s="1"/>
    </row>
    <row r="233" spans="1:9" s="2" customFormat="1" x14ac:dyDescent="0.2">
      <c r="A233" s="26"/>
      <c r="C233" s="5"/>
      <c r="D233" s="5"/>
      <c r="E233" s="7"/>
      <c r="F233" s="7"/>
      <c r="G233" s="55"/>
      <c r="H233" s="3"/>
      <c r="I233" s="1"/>
    </row>
    <row r="234" spans="1:9" s="2" customFormat="1" x14ac:dyDescent="0.2">
      <c r="A234" s="26"/>
      <c r="C234" s="5"/>
      <c r="D234" s="5"/>
      <c r="E234" s="7"/>
      <c r="F234" s="7"/>
      <c r="G234" s="55"/>
      <c r="H234" s="3"/>
      <c r="I234" s="1"/>
    </row>
    <row r="235" spans="1:9" s="2" customFormat="1" x14ac:dyDescent="0.2">
      <c r="A235" s="26"/>
      <c r="C235" s="5"/>
      <c r="D235" s="5"/>
      <c r="E235" s="7"/>
      <c r="F235" s="7"/>
      <c r="G235" s="55"/>
      <c r="H235" s="3"/>
      <c r="I235" s="1"/>
    </row>
    <row r="236" spans="1:9" s="2" customFormat="1" x14ac:dyDescent="0.2">
      <c r="A236" s="26"/>
      <c r="C236" s="5"/>
      <c r="D236" s="5"/>
      <c r="E236" s="7"/>
      <c r="F236" s="7"/>
      <c r="G236" s="55"/>
      <c r="H236" s="3"/>
      <c r="I236" s="1"/>
    </row>
    <row r="237" spans="1:9" s="2" customFormat="1" x14ac:dyDescent="0.2">
      <c r="A237" s="26"/>
      <c r="C237" s="5"/>
      <c r="D237" s="5"/>
      <c r="E237" s="7"/>
      <c r="F237" s="7"/>
      <c r="G237" s="55"/>
      <c r="H237" s="3"/>
      <c r="I237" s="1"/>
    </row>
    <row r="238" spans="1:9" s="2" customFormat="1" x14ac:dyDescent="0.2">
      <c r="A238" s="26"/>
      <c r="C238" s="5"/>
      <c r="D238" s="5"/>
      <c r="E238" s="7"/>
      <c r="F238" s="7"/>
      <c r="G238" s="55"/>
      <c r="H238" s="3"/>
      <c r="I238" s="1"/>
    </row>
    <row r="239" spans="1:9" s="2" customFormat="1" x14ac:dyDescent="0.2">
      <c r="A239" s="26"/>
      <c r="C239" s="5"/>
      <c r="D239" s="5"/>
      <c r="E239" s="7"/>
      <c r="F239" s="7"/>
      <c r="G239" s="55"/>
      <c r="H239" s="3"/>
      <c r="I239" s="1"/>
    </row>
    <row r="240" spans="1:9" s="2" customFormat="1" x14ac:dyDescent="0.2">
      <c r="A240" s="26"/>
      <c r="C240" s="5"/>
      <c r="D240" s="5"/>
      <c r="E240" s="7"/>
      <c r="F240" s="7"/>
      <c r="G240" s="55"/>
      <c r="H240" s="3"/>
      <c r="I240" s="1"/>
    </row>
    <row r="241" spans="1:9" s="2" customFormat="1" x14ac:dyDescent="0.2">
      <c r="A241" s="26"/>
      <c r="C241" s="5"/>
      <c r="D241" s="5"/>
      <c r="E241" s="7"/>
      <c r="F241" s="7"/>
      <c r="G241" s="55"/>
      <c r="H241" s="3"/>
      <c r="I241" s="1"/>
    </row>
    <row r="242" spans="1:9" s="2" customFormat="1" x14ac:dyDescent="0.2">
      <c r="A242" s="26"/>
      <c r="C242" s="5"/>
      <c r="D242" s="5"/>
      <c r="E242" s="7"/>
      <c r="F242" s="7"/>
      <c r="G242" s="55"/>
      <c r="H242" s="3"/>
      <c r="I242" s="1"/>
    </row>
    <row r="243" spans="1:9" s="2" customFormat="1" x14ac:dyDescent="0.2">
      <c r="A243" s="26"/>
      <c r="C243" s="5"/>
      <c r="D243" s="5"/>
      <c r="E243" s="7"/>
      <c r="F243" s="7"/>
      <c r="G243" s="55"/>
      <c r="H243" s="3"/>
      <c r="I243" s="1"/>
    </row>
    <row r="244" spans="1:9" s="2" customFormat="1" x14ac:dyDescent="0.2">
      <c r="A244" s="26"/>
      <c r="C244" s="5"/>
      <c r="D244" s="5"/>
      <c r="E244" s="7"/>
      <c r="F244" s="7"/>
      <c r="G244" s="55"/>
      <c r="H244" s="3"/>
      <c r="I244" s="1"/>
    </row>
    <row r="245" spans="1:9" s="2" customFormat="1" x14ac:dyDescent="0.2">
      <c r="A245" s="26"/>
      <c r="C245" s="5"/>
      <c r="D245" s="5"/>
      <c r="E245" s="7"/>
      <c r="F245" s="7"/>
      <c r="G245" s="55"/>
      <c r="H245" s="3"/>
      <c r="I245" s="1"/>
    </row>
    <row r="246" spans="1:9" s="2" customFormat="1" x14ac:dyDescent="0.2">
      <c r="A246" s="26"/>
      <c r="C246" s="5"/>
      <c r="D246" s="5"/>
      <c r="E246" s="7"/>
      <c r="F246" s="7"/>
      <c r="G246" s="55"/>
      <c r="H246" s="3"/>
      <c r="I246" s="1"/>
    </row>
    <row r="247" spans="1:9" s="2" customFormat="1" x14ac:dyDescent="0.2">
      <c r="A247" s="26"/>
      <c r="C247" s="5"/>
      <c r="D247" s="5"/>
      <c r="E247" s="7"/>
      <c r="F247" s="7"/>
      <c r="G247" s="55"/>
      <c r="H247" s="3"/>
      <c r="I247" s="1"/>
    </row>
    <row r="248" spans="1:9" s="2" customFormat="1" x14ac:dyDescent="0.2">
      <c r="A248" s="26"/>
      <c r="C248" s="5"/>
      <c r="D248" s="5"/>
      <c r="E248" s="7"/>
      <c r="F248" s="7"/>
      <c r="G248" s="55"/>
      <c r="H248" s="3"/>
      <c r="I248" s="1"/>
    </row>
    <row r="249" spans="1:9" s="2" customFormat="1" x14ac:dyDescent="0.2">
      <c r="A249" s="26"/>
      <c r="C249" s="5"/>
      <c r="D249" s="5"/>
      <c r="E249" s="7"/>
      <c r="F249" s="7"/>
      <c r="G249" s="55"/>
      <c r="H249" s="3"/>
      <c r="I249" s="1"/>
    </row>
    <row r="250" spans="1:9" s="2" customFormat="1" x14ac:dyDescent="0.2">
      <c r="A250" s="26"/>
      <c r="C250" s="5"/>
      <c r="D250" s="5"/>
      <c r="E250" s="7"/>
      <c r="F250" s="7"/>
      <c r="G250" s="55"/>
      <c r="H250" s="3"/>
      <c r="I250" s="1"/>
    </row>
    <row r="251" spans="1:9" s="2" customFormat="1" x14ac:dyDescent="0.2">
      <c r="A251" s="26"/>
      <c r="C251" s="5"/>
      <c r="D251" s="5"/>
      <c r="E251" s="7"/>
      <c r="F251" s="7"/>
      <c r="G251" s="55"/>
      <c r="H251" s="3"/>
      <c r="I251" s="1"/>
    </row>
    <row r="252" spans="1:9" s="2" customFormat="1" x14ac:dyDescent="0.2">
      <c r="A252" s="26"/>
      <c r="C252" s="5"/>
      <c r="D252" s="5"/>
      <c r="E252" s="7"/>
      <c r="F252" s="7"/>
      <c r="G252" s="55"/>
      <c r="H252" s="3"/>
      <c r="I252" s="1"/>
    </row>
    <row r="253" spans="1:9" s="2" customFormat="1" x14ac:dyDescent="0.2">
      <c r="A253" s="26"/>
      <c r="C253" s="5"/>
      <c r="D253" s="5"/>
      <c r="E253" s="7"/>
      <c r="F253" s="7"/>
      <c r="G253" s="55"/>
      <c r="H253" s="3"/>
      <c r="I253" s="1"/>
    </row>
    <row r="254" spans="1:9" s="2" customFormat="1" x14ac:dyDescent="0.2">
      <c r="A254" s="26"/>
      <c r="C254" s="5"/>
      <c r="D254" s="5"/>
      <c r="E254" s="7"/>
      <c r="F254" s="7"/>
      <c r="G254" s="55"/>
      <c r="H254" s="3"/>
      <c r="I254" s="1"/>
    </row>
    <row r="255" spans="1:9" s="2" customFormat="1" x14ac:dyDescent="0.2">
      <c r="A255" s="26"/>
      <c r="C255" s="5"/>
      <c r="D255" s="5"/>
      <c r="E255" s="7"/>
      <c r="F255" s="7"/>
      <c r="G255" s="55"/>
      <c r="H255" s="3"/>
      <c r="I255" s="1"/>
    </row>
    <row r="256" spans="1:9" s="2" customFormat="1" x14ac:dyDescent="0.2">
      <c r="A256" s="26"/>
      <c r="C256" s="5"/>
      <c r="D256" s="5"/>
      <c r="E256" s="7"/>
      <c r="F256" s="7"/>
      <c r="G256" s="55"/>
      <c r="H256" s="3"/>
      <c r="I256" s="1"/>
    </row>
    <row r="257" spans="1:9" s="2" customFormat="1" x14ac:dyDescent="0.2">
      <c r="A257" s="26"/>
      <c r="C257" s="5"/>
      <c r="D257" s="5"/>
      <c r="E257" s="7"/>
      <c r="F257" s="7"/>
      <c r="G257" s="55"/>
      <c r="H257" s="3"/>
      <c r="I257" s="1"/>
    </row>
    <row r="258" spans="1:9" s="2" customFormat="1" x14ac:dyDescent="0.2">
      <c r="A258" s="26"/>
      <c r="C258" s="5"/>
      <c r="D258" s="5"/>
      <c r="E258" s="7"/>
      <c r="F258" s="7"/>
      <c r="G258" s="55"/>
      <c r="H258" s="3"/>
      <c r="I258" s="1"/>
    </row>
    <row r="259" spans="1:9" s="2" customFormat="1" x14ac:dyDescent="0.2">
      <c r="A259" s="26"/>
      <c r="C259" s="5"/>
      <c r="D259" s="5"/>
      <c r="E259" s="7"/>
      <c r="F259" s="7"/>
      <c r="G259" s="55"/>
      <c r="H259" s="3"/>
      <c r="I259" s="1"/>
    </row>
    <row r="260" spans="1:9" s="2" customFormat="1" x14ac:dyDescent="0.2">
      <c r="A260" s="26"/>
      <c r="C260" s="5"/>
      <c r="D260" s="5"/>
      <c r="E260" s="7"/>
      <c r="F260" s="7"/>
      <c r="G260" s="55"/>
      <c r="H260" s="3"/>
      <c r="I260" s="1"/>
    </row>
    <row r="261" spans="1:9" s="2" customFormat="1" x14ac:dyDescent="0.2">
      <c r="A261" s="26"/>
      <c r="C261" s="5"/>
      <c r="D261" s="5"/>
      <c r="E261" s="7"/>
      <c r="F261" s="7"/>
      <c r="G261" s="55"/>
      <c r="H261" s="3"/>
      <c r="I261" s="1"/>
    </row>
    <row r="262" spans="1:9" s="2" customFormat="1" x14ac:dyDescent="0.2">
      <c r="A262" s="26"/>
      <c r="C262" s="5"/>
      <c r="D262" s="5"/>
      <c r="E262" s="7"/>
      <c r="F262" s="7"/>
      <c r="G262" s="55"/>
      <c r="H262" s="3"/>
      <c r="I262" s="1"/>
    </row>
    <row r="263" spans="1:9" s="2" customFormat="1" x14ac:dyDescent="0.2">
      <c r="A263" s="26"/>
      <c r="C263" s="5"/>
      <c r="D263" s="5"/>
      <c r="E263" s="7"/>
      <c r="F263" s="7"/>
      <c r="G263" s="55"/>
      <c r="H263" s="3"/>
      <c r="I263" s="1"/>
    </row>
    <row r="264" spans="1:9" s="2" customFormat="1" x14ac:dyDescent="0.2">
      <c r="A264" s="26"/>
      <c r="C264" s="5"/>
      <c r="D264" s="5"/>
      <c r="E264" s="7"/>
      <c r="F264" s="7"/>
      <c r="G264" s="55"/>
      <c r="H264" s="3"/>
      <c r="I264" s="1"/>
    </row>
    <row r="265" spans="1:9" s="2" customFormat="1" x14ac:dyDescent="0.2">
      <c r="A265" s="26"/>
      <c r="C265" s="5"/>
      <c r="D265" s="5"/>
      <c r="E265" s="7"/>
      <c r="F265" s="7"/>
      <c r="G265" s="55"/>
      <c r="H265" s="3"/>
      <c r="I265" s="1"/>
    </row>
    <row r="266" spans="1:9" s="2" customFormat="1" x14ac:dyDescent="0.2">
      <c r="A266" s="26"/>
      <c r="C266" s="5"/>
      <c r="D266" s="5"/>
      <c r="E266" s="7"/>
      <c r="F266" s="7"/>
      <c r="G266" s="55"/>
      <c r="H266" s="3"/>
      <c r="I266" s="1"/>
    </row>
    <row r="267" spans="1:9" s="2" customFormat="1" x14ac:dyDescent="0.2">
      <c r="A267" s="26"/>
      <c r="C267" s="5"/>
      <c r="D267" s="5"/>
      <c r="E267" s="7"/>
      <c r="F267" s="7"/>
      <c r="G267" s="55"/>
      <c r="H267" s="3"/>
      <c r="I267" s="1"/>
    </row>
    <row r="268" spans="1:9" s="2" customFormat="1" x14ac:dyDescent="0.2">
      <c r="A268" s="26"/>
      <c r="C268" s="5"/>
      <c r="D268" s="5"/>
      <c r="E268" s="7"/>
      <c r="F268" s="7"/>
      <c r="G268" s="55"/>
      <c r="H268" s="3"/>
      <c r="I268" s="1"/>
    </row>
    <row r="269" spans="1:9" s="2" customFormat="1" x14ac:dyDescent="0.2">
      <c r="A269" s="26"/>
      <c r="C269" s="5"/>
      <c r="D269" s="5"/>
      <c r="E269" s="7"/>
      <c r="F269" s="7"/>
      <c r="G269" s="55"/>
      <c r="H269" s="3"/>
      <c r="I269" s="1"/>
    </row>
    <row r="270" spans="1:9" s="2" customFormat="1" x14ac:dyDescent="0.2">
      <c r="A270" s="26"/>
      <c r="C270" s="5"/>
      <c r="D270" s="5"/>
      <c r="E270" s="7"/>
      <c r="F270" s="7"/>
      <c r="G270" s="55"/>
      <c r="H270" s="3"/>
      <c r="I270" s="1"/>
    </row>
    <row r="271" spans="1:9" s="2" customFormat="1" x14ac:dyDescent="0.2">
      <c r="A271" s="26"/>
      <c r="C271" s="5"/>
      <c r="D271" s="5"/>
      <c r="E271" s="7"/>
      <c r="F271" s="7"/>
      <c r="G271" s="55"/>
      <c r="H271" s="3"/>
      <c r="I271" s="1"/>
    </row>
    <row r="272" spans="1:9" s="2" customFormat="1" x14ac:dyDescent="0.2">
      <c r="A272" s="26"/>
      <c r="C272" s="5"/>
      <c r="D272" s="5"/>
      <c r="E272" s="7"/>
      <c r="F272" s="7"/>
      <c r="G272" s="55"/>
      <c r="H272" s="3"/>
      <c r="I272" s="1"/>
    </row>
    <row r="273" spans="1:9" s="2" customFormat="1" x14ac:dyDescent="0.2">
      <c r="A273" s="26"/>
      <c r="C273" s="5"/>
      <c r="D273" s="5"/>
      <c r="E273" s="7"/>
      <c r="F273" s="7"/>
      <c r="G273" s="55"/>
      <c r="H273" s="3"/>
      <c r="I273" s="1"/>
    </row>
    <row r="274" spans="1:9" s="2" customFormat="1" x14ac:dyDescent="0.2">
      <c r="A274" s="26"/>
      <c r="C274" s="5"/>
      <c r="D274" s="5"/>
      <c r="E274" s="7"/>
      <c r="F274" s="7"/>
      <c r="G274" s="55"/>
      <c r="H274" s="3"/>
      <c r="I274" s="1"/>
    </row>
    <row r="275" spans="1:9" s="2" customFormat="1" x14ac:dyDescent="0.2">
      <c r="A275" s="26"/>
      <c r="C275" s="5"/>
      <c r="D275" s="5"/>
      <c r="E275" s="7"/>
      <c r="F275" s="7"/>
      <c r="G275" s="55"/>
      <c r="H275" s="3"/>
      <c r="I275" s="1"/>
    </row>
    <row r="276" spans="1:9" s="2" customFormat="1" x14ac:dyDescent="0.2">
      <c r="A276" s="26"/>
      <c r="C276" s="5"/>
      <c r="D276" s="5"/>
      <c r="E276" s="7"/>
      <c r="F276" s="7"/>
      <c r="G276" s="55"/>
      <c r="H276" s="3"/>
      <c r="I276" s="1"/>
    </row>
    <row r="277" spans="1:9" s="2" customFormat="1" x14ac:dyDescent="0.2">
      <c r="A277" s="26"/>
      <c r="C277" s="5"/>
      <c r="D277" s="5"/>
      <c r="E277" s="7"/>
      <c r="F277" s="7"/>
      <c r="G277" s="55"/>
      <c r="H277" s="3"/>
      <c r="I277" s="1"/>
    </row>
    <row r="278" spans="1:9" s="2" customFormat="1" x14ac:dyDescent="0.2">
      <c r="A278" s="26"/>
      <c r="C278" s="5"/>
      <c r="D278" s="5"/>
      <c r="E278" s="7"/>
      <c r="F278" s="7"/>
      <c r="G278" s="55"/>
      <c r="H278" s="3"/>
      <c r="I278" s="1"/>
    </row>
    <row r="279" spans="1:9" s="2" customFormat="1" x14ac:dyDescent="0.2">
      <c r="A279" s="26"/>
      <c r="C279" s="5"/>
      <c r="D279" s="5"/>
      <c r="E279" s="7"/>
      <c r="F279" s="7"/>
      <c r="G279" s="55"/>
      <c r="H279" s="3"/>
      <c r="I279" s="1"/>
    </row>
    <row r="280" spans="1:9" s="2" customFormat="1" x14ac:dyDescent="0.2">
      <c r="A280" s="26"/>
      <c r="C280" s="5"/>
      <c r="D280" s="5"/>
      <c r="E280" s="7"/>
      <c r="F280" s="7"/>
      <c r="G280" s="55"/>
      <c r="H280" s="3"/>
      <c r="I280" s="1"/>
    </row>
    <row r="281" spans="1:9" s="2" customFormat="1" x14ac:dyDescent="0.2">
      <c r="A281" s="26"/>
      <c r="C281" s="5"/>
      <c r="D281" s="5"/>
      <c r="E281" s="7"/>
      <c r="F281" s="7"/>
      <c r="G281" s="55"/>
      <c r="H281" s="3"/>
      <c r="I281" s="1"/>
    </row>
    <row r="282" spans="1:9" s="2" customFormat="1" x14ac:dyDescent="0.2">
      <c r="A282" s="26"/>
      <c r="C282" s="5"/>
      <c r="D282" s="5"/>
      <c r="E282" s="7"/>
      <c r="F282" s="7"/>
      <c r="G282" s="55"/>
      <c r="H282" s="3"/>
      <c r="I282" s="1"/>
    </row>
    <row r="283" spans="1:9" s="2" customFormat="1" x14ac:dyDescent="0.2">
      <c r="A283" s="26"/>
      <c r="C283" s="5"/>
      <c r="D283" s="5"/>
      <c r="E283" s="7"/>
      <c r="F283" s="7"/>
      <c r="G283" s="55"/>
      <c r="H283" s="3"/>
      <c r="I283" s="1"/>
    </row>
    <row r="284" spans="1:9" s="2" customFormat="1" x14ac:dyDescent="0.2">
      <c r="A284" s="26"/>
      <c r="C284" s="5"/>
      <c r="D284" s="5"/>
      <c r="E284" s="7"/>
      <c r="F284" s="7"/>
      <c r="G284" s="55"/>
      <c r="H284" s="3"/>
      <c r="I284" s="1"/>
    </row>
    <row r="285" spans="1:9" s="2" customFormat="1" x14ac:dyDescent="0.2">
      <c r="A285" s="26"/>
      <c r="C285" s="5"/>
      <c r="D285" s="5"/>
      <c r="E285" s="7"/>
      <c r="F285" s="7"/>
      <c r="G285" s="55"/>
      <c r="H285" s="3"/>
      <c r="I285" s="1"/>
    </row>
    <row r="286" spans="1:9" s="2" customFormat="1" x14ac:dyDescent="0.2">
      <c r="A286" s="26"/>
      <c r="C286" s="5"/>
      <c r="D286" s="5"/>
      <c r="E286" s="7"/>
      <c r="F286" s="7"/>
      <c r="G286" s="55"/>
      <c r="H286" s="3"/>
      <c r="I286" s="1"/>
    </row>
    <row r="287" spans="1:9" s="2" customFormat="1" x14ac:dyDescent="0.2">
      <c r="A287" s="26"/>
      <c r="C287" s="5"/>
      <c r="D287" s="5"/>
      <c r="E287" s="7"/>
      <c r="F287" s="7"/>
      <c r="G287" s="55"/>
      <c r="H287" s="3"/>
      <c r="I287" s="1"/>
    </row>
    <row r="288" spans="1:9" s="2" customFormat="1" x14ac:dyDescent="0.2">
      <c r="A288" s="26"/>
      <c r="C288" s="5"/>
      <c r="D288" s="5"/>
      <c r="E288" s="7"/>
      <c r="F288" s="7"/>
      <c r="G288" s="55"/>
      <c r="H288" s="3"/>
      <c r="I288" s="1"/>
    </row>
    <row r="289" spans="1:9" s="2" customFormat="1" x14ac:dyDescent="0.2">
      <c r="A289" s="26"/>
      <c r="C289" s="5"/>
      <c r="D289" s="5"/>
      <c r="E289" s="7"/>
      <c r="F289" s="7"/>
      <c r="G289" s="55"/>
      <c r="H289" s="3"/>
      <c r="I289" s="1"/>
    </row>
    <row r="290" spans="1:9" s="2" customFormat="1" x14ac:dyDescent="0.2">
      <c r="A290" s="26"/>
      <c r="C290" s="5"/>
      <c r="D290" s="5"/>
      <c r="E290" s="7"/>
      <c r="F290" s="7"/>
      <c r="G290" s="55"/>
      <c r="H290" s="3"/>
      <c r="I290" s="1"/>
    </row>
    <row r="291" spans="1:9" s="2" customFormat="1" x14ac:dyDescent="0.2">
      <c r="A291" s="26"/>
      <c r="C291" s="5"/>
      <c r="D291" s="5"/>
      <c r="E291" s="7"/>
      <c r="F291" s="7"/>
      <c r="G291" s="55"/>
      <c r="H291" s="3"/>
      <c r="I291" s="1"/>
    </row>
    <row r="292" spans="1:9" s="2" customFormat="1" x14ac:dyDescent="0.2">
      <c r="A292" s="26"/>
      <c r="C292" s="5"/>
      <c r="D292" s="5"/>
      <c r="E292" s="7"/>
      <c r="F292" s="7"/>
      <c r="G292" s="55"/>
      <c r="H292" s="3"/>
      <c r="I292" s="1"/>
    </row>
    <row r="293" spans="1:9" s="2" customFormat="1" x14ac:dyDescent="0.2">
      <c r="A293" s="26"/>
      <c r="C293" s="5"/>
      <c r="D293" s="5"/>
      <c r="E293" s="7"/>
      <c r="F293" s="7"/>
      <c r="G293" s="55"/>
      <c r="H293" s="3"/>
      <c r="I293" s="1"/>
    </row>
    <row r="294" spans="1:9" s="2" customFormat="1" x14ac:dyDescent="0.2">
      <c r="A294" s="26"/>
      <c r="C294" s="4"/>
      <c r="D294" s="4"/>
      <c r="E294" s="8"/>
      <c r="F294" s="8"/>
      <c r="G294" s="55"/>
      <c r="H294" s="3"/>
    </row>
    <row r="295" spans="1:9" s="2" customFormat="1" x14ac:dyDescent="0.2">
      <c r="A295" s="26"/>
      <c r="C295" s="4"/>
      <c r="D295" s="4"/>
      <c r="E295" s="8"/>
      <c r="F295" s="8"/>
      <c r="G295" s="55"/>
      <c r="H295" s="3"/>
    </row>
    <row r="296" spans="1:9" s="2" customFormat="1" x14ac:dyDescent="0.2">
      <c r="A296" s="26"/>
      <c r="C296" s="4"/>
      <c r="D296" s="4"/>
      <c r="E296" s="8"/>
      <c r="F296" s="8"/>
      <c r="G296" s="55"/>
      <c r="H296" s="3"/>
    </row>
    <row r="297" spans="1:9" s="2" customFormat="1" x14ac:dyDescent="0.2">
      <c r="A297" s="26"/>
      <c r="C297" s="4"/>
      <c r="D297" s="4"/>
      <c r="E297" s="8"/>
      <c r="F297" s="8"/>
      <c r="G297" s="55"/>
      <c r="H297" s="3"/>
    </row>
    <row r="298" spans="1:9" s="2" customFormat="1" x14ac:dyDescent="0.2">
      <c r="A298" s="26"/>
      <c r="C298" s="4"/>
      <c r="D298" s="4"/>
      <c r="E298" s="8"/>
      <c r="F298" s="8"/>
      <c r="G298" s="55"/>
      <c r="H298" s="3"/>
    </row>
    <row r="299" spans="1:9" s="2" customFormat="1" x14ac:dyDescent="0.2">
      <c r="A299" s="26"/>
      <c r="C299" s="4"/>
      <c r="D299" s="4"/>
      <c r="E299" s="8"/>
      <c r="F299" s="8"/>
      <c r="G299" s="55"/>
      <c r="H299" s="3"/>
    </row>
    <row r="300" spans="1:9" s="2" customFormat="1" x14ac:dyDescent="0.2">
      <c r="A300" s="26"/>
      <c r="C300" s="4"/>
      <c r="D300" s="4"/>
      <c r="E300" s="8"/>
      <c r="F300" s="8"/>
      <c r="G300" s="55"/>
      <c r="H300" s="3"/>
    </row>
    <row r="301" spans="1:9" s="2" customFormat="1" x14ac:dyDescent="0.2">
      <c r="A301" s="26"/>
      <c r="C301" s="4"/>
      <c r="D301" s="4"/>
      <c r="E301" s="8"/>
      <c r="F301" s="8"/>
      <c r="G301" s="55"/>
      <c r="H301" s="3"/>
    </row>
    <row r="302" spans="1:9" s="2" customFormat="1" x14ac:dyDescent="0.2">
      <c r="A302" s="26"/>
      <c r="C302" s="4"/>
      <c r="D302" s="4"/>
      <c r="E302" s="8"/>
      <c r="F302" s="8"/>
      <c r="G302" s="55"/>
      <c r="H302" s="3"/>
    </row>
    <row r="303" spans="1:9" s="2" customFormat="1" x14ac:dyDescent="0.2">
      <c r="A303" s="26"/>
      <c r="C303" s="4"/>
      <c r="D303" s="4"/>
      <c r="E303" s="8"/>
      <c r="F303" s="8"/>
      <c r="G303" s="55"/>
      <c r="H303" s="3"/>
    </row>
    <row r="304" spans="1:9" s="2" customFormat="1" x14ac:dyDescent="0.2">
      <c r="A304" s="26"/>
      <c r="C304" s="4"/>
      <c r="D304" s="4"/>
      <c r="E304" s="8"/>
      <c r="F304" s="8"/>
      <c r="G304" s="55"/>
      <c r="H304" s="3"/>
    </row>
    <row r="305" spans="1:8" s="2" customFormat="1" x14ac:dyDescent="0.2">
      <c r="A305" s="26"/>
      <c r="C305" s="4"/>
      <c r="D305" s="4"/>
      <c r="E305" s="8"/>
      <c r="F305" s="8"/>
      <c r="G305" s="55"/>
      <c r="H305" s="3"/>
    </row>
    <row r="306" spans="1:8" s="2" customFormat="1" x14ac:dyDescent="0.2">
      <c r="A306" s="26"/>
      <c r="C306" s="4"/>
      <c r="D306" s="4"/>
      <c r="E306" s="8"/>
      <c r="F306" s="8"/>
      <c r="G306" s="55"/>
      <c r="H306" s="3"/>
    </row>
    <row r="307" spans="1:8" s="2" customFormat="1" x14ac:dyDescent="0.2">
      <c r="A307" s="26"/>
      <c r="C307" s="4"/>
      <c r="D307" s="4"/>
      <c r="E307" s="8"/>
      <c r="F307" s="8"/>
      <c r="G307" s="55"/>
      <c r="H307" s="3"/>
    </row>
    <row r="308" spans="1:8" s="2" customFormat="1" x14ac:dyDescent="0.2">
      <c r="A308" s="26"/>
      <c r="C308" s="4"/>
      <c r="D308" s="4"/>
      <c r="E308" s="8"/>
      <c r="F308" s="8"/>
      <c r="G308" s="55"/>
      <c r="H308" s="3"/>
    </row>
    <row r="309" spans="1:8" s="2" customFormat="1" x14ac:dyDescent="0.2">
      <c r="A309" s="26"/>
      <c r="C309" s="4"/>
      <c r="D309" s="4"/>
      <c r="E309" s="8"/>
      <c r="F309" s="8"/>
      <c r="G309" s="55"/>
      <c r="H309" s="3"/>
    </row>
    <row r="310" spans="1:8" s="2" customFormat="1" x14ac:dyDescent="0.2">
      <c r="A310" s="26"/>
      <c r="C310" s="4"/>
      <c r="D310" s="4"/>
      <c r="E310" s="8"/>
      <c r="F310" s="8"/>
      <c r="G310" s="55"/>
      <c r="H310" s="3"/>
    </row>
    <row r="311" spans="1:8" s="2" customFormat="1" x14ac:dyDescent="0.2">
      <c r="A311" s="26"/>
      <c r="C311" s="4"/>
      <c r="D311" s="4"/>
      <c r="E311" s="8"/>
      <c r="F311" s="8"/>
      <c r="G311" s="55"/>
      <c r="H311" s="3"/>
    </row>
    <row r="312" spans="1:8" s="2" customFormat="1" x14ac:dyDescent="0.2">
      <c r="A312" s="26"/>
      <c r="C312" s="4"/>
      <c r="D312" s="4"/>
      <c r="E312" s="8"/>
      <c r="F312" s="8"/>
      <c r="G312" s="55"/>
      <c r="H312" s="3"/>
    </row>
    <row r="313" spans="1:8" s="2" customFormat="1" x14ac:dyDescent="0.2">
      <c r="A313" s="26"/>
      <c r="C313" s="4"/>
      <c r="D313" s="4"/>
      <c r="E313" s="8"/>
      <c r="F313" s="8"/>
      <c r="G313" s="55"/>
      <c r="H313" s="3"/>
    </row>
    <row r="314" spans="1:8" s="2" customFormat="1" x14ac:dyDescent="0.2">
      <c r="A314" s="26"/>
      <c r="C314" s="4"/>
      <c r="D314" s="4"/>
      <c r="E314" s="8"/>
      <c r="F314" s="8"/>
      <c r="G314" s="55"/>
      <c r="H314" s="3"/>
    </row>
    <row r="315" spans="1:8" s="2" customFormat="1" x14ac:dyDescent="0.2">
      <c r="A315" s="26"/>
      <c r="C315" s="4"/>
      <c r="D315" s="4"/>
      <c r="E315" s="8"/>
      <c r="F315" s="8"/>
      <c r="G315" s="55"/>
      <c r="H315" s="3"/>
    </row>
    <row r="316" spans="1:8" s="2" customFormat="1" x14ac:dyDescent="0.2">
      <c r="A316" s="26"/>
      <c r="C316" s="4"/>
      <c r="D316" s="4"/>
      <c r="E316" s="8"/>
      <c r="F316" s="8"/>
      <c r="G316" s="55"/>
      <c r="H316" s="3"/>
    </row>
    <row r="317" spans="1:8" s="2" customFormat="1" x14ac:dyDescent="0.2">
      <c r="A317" s="26"/>
      <c r="C317" s="4"/>
      <c r="D317" s="4"/>
      <c r="E317" s="8"/>
      <c r="F317" s="8"/>
      <c r="G317" s="55"/>
      <c r="H317" s="3"/>
    </row>
    <row r="318" spans="1:8" s="2" customFormat="1" x14ac:dyDescent="0.2">
      <c r="A318" s="26"/>
      <c r="C318" s="4"/>
      <c r="D318" s="4"/>
      <c r="E318" s="8"/>
      <c r="F318" s="8"/>
      <c r="G318" s="55"/>
      <c r="H318" s="3"/>
    </row>
    <row r="319" spans="1:8" s="2" customFormat="1" x14ac:dyDescent="0.2">
      <c r="A319" s="26"/>
      <c r="C319" s="4"/>
      <c r="D319" s="4"/>
      <c r="E319" s="8"/>
      <c r="F319" s="8"/>
      <c r="G319" s="55"/>
      <c r="H319" s="3"/>
    </row>
    <row r="320" spans="1:8" s="2" customFormat="1" x14ac:dyDescent="0.2">
      <c r="A320" s="26"/>
      <c r="C320" s="4"/>
      <c r="D320" s="4"/>
      <c r="E320" s="8"/>
      <c r="F320" s="8"/>
      <c r="G320" s="55"/>
      <c r="H320" s="3"/>
    </row>
    <row r="321" spans="1:8" s="2" customFormat="1" x14ac:dyDescent="0.2">
      <c r="A321" s="26"/>
      <c r="C321" s="4"/>
      <c r="D321" s="4"/>
      <c r="E321" s="8"/>
      <c r="F321" s="8"/>
      <c r="G321" s="55"/>
      <c r="H321" s="3"/>
    </row>
    <row r="322" spans="1:8" s="2" customFormat="1" x14ac:dyDescent="0.2">
      <c r="A322" s="26"/>
      <c r="C322" s="4"/>
      <c r="D322" s="4"/>
      <c r="E322" s="8"/>
      <c r="F322" s="8"/>
      <c r="G322" s="55"/>
      <c r="H322" s="3"/>
    </row>
    <row r="323" spans="1:8" s="2" customFormat="1" x14ac:dyDescent="0.2">
      <c r="A323" s="26"/>
      <c r="C323" s="4"/>
      <c r="D323" s="4"/>
      <c r="E323" s="8"/>
      <c r="F323" s="8"/>
      <c r="G323" s="55"/>
      <c r="H323" s="3"/>
    </row>
    <row r="324" spans="1:8" s="2" customFormat="1" x14ac:dyDescent="0.2">
      <c r="A324" s="26"/>
      <c r="C324" s="4"/>
      <c r="D324" s="4"/>
      <c r="E324" s="8"/>
      <c r="F324" s="8"/>
      <c r="G324" s="55"/>
      <c r="H324" s="3"/>
    </row>
    <row r="325" spans="1:8" s="2" customFormat="1" x14ac:dyDescent="0.2">
      <c r="A325" s="26"/>
      <c r="C325" s="4"/>
      <c r="D325" s="4"/>
      <c r="E325" s="8"/>
      <c r="F325" s="8"/>
      <c r="G325" s="55"/>
      <c r="H325" s="3"/>
    </row>
    <row r="326" spans="1:8" s="2" customFormat="1" x14ac:dyDescent="0.2">
      <c r="A326" s="26"/>
      <c r="C326" s="4"/>
      <c r="D326" s="4"/>
      <c r="E326" s="8"/>
      <c r="F326" s="8"/>
      <c r="G326" s="55"/>
      <c r="H326" s="3"/>
    </row>
    <row r="327" spans="1:8" s="2" customFormat="1" x14ac:dyDescent="0.2">
      <c r="A327" s="26"/>
      <c r="C327" s="4"/>
      <c r="D327" s="4"/>
      <c r="E327" s="8"/>
      <c r="F327" s="8"/>
      <c r="G327" s="55"/>
      <c r="H327" s="3"/>
    </row>
    <row r="328" spans="1:8" s="2" customFormat="1" x14ac:dyDescent="0.2">
      <c r="A328" s="26"/>
      <c r="C328" s="4"/>
      <c r="D328" s="4"/>
      <c r="E328" s="8"/>
      <c r="F328" s="8"/>
      <c r="G328" s="55"/>
      <c r="H328" s="3"/>
    </row>
    <row r="329" spans="1:8" s="2" customFormat="1" x14ac:dyDescent="0.2">
      <c r="A329" s="26"/>
      <c r="C329" s="4"/>
      <c r="D329" s="4"/>
      <c r="E329" s="8"/>
      <c r="F329" s="8"/>
      <c r="G329" s="55"/>
      <c r="H329" s="3"/>
    </row>
    <row r="330" spans="1:8" s="2" customFormat="1" x14ac:dyDescent="0.2">
      <c r="A330" s="26"/>
      <c r="C330" s="4"/>
      <c r="D330" s="4"/>
      <c r="E330" s="8"/>
      <c r="F330" s="8"/>
      <c r="G330" s="55"/>
      <c r="H330" s="3"/>
    </row>
    <row r="331" spans="1:8" s="2" customFormat="1" x14ac:dyDescent="0.2">
      <c r="A331" s="26"/>
      <c r="C331" s="4"/>
      <c r="D331" s="4"/>
      <c r="E331" s="8"/>
      <c r="F331" s="8"/>
      <c r="G331" s="55"/>
      <c r="H331" s="3"/>
    </row>
    <row r="332" spans="1:8" s="2" customFormat="1" x14ac:dyDescent="0.2">
      <c r="A332" s="26"/>
      <c r="C332" s="4"/>
      <c r="D332" s="4"/>
      <c r="E332" s="8"/>
      <c r="F332" s="8"/>
      <c r="G332" s="55"/>
      <c r="H332" s="3"/>
    </row>
    <row r="333" spans="1:8" s="2" customFormat="1" x14ac:dyDescent="0.2">
      <c r="A333" s="26"/>
      <c r="C333" s="4"/>
      <c r="D333" s="4"/>
      <c r="E333" s="8"/>
      <c r="F333" s="8"/>
      <c r="G333" s="55"/>
      <c r="H333" s="3"/>
    </row>
    <row r="334" spans="1:8" s="2" customFormat="1" x14ac:dyDescent="0.2">
      <c r="A334" s="26"/>
      <c r="C334" s="4"/>
      <c r="D334" s="4"/>
      <c r="E334" s="8"/>
      <c r="F334" s="8"/>
      <c r="G334" s="55"/>
      <c r="H334" s="3"/>
    </row>
    <row r="335" spans="1:8" s="2" customFormat="1" x14ac:dyDescent="0.2">
      <c r="A335" s="26"/>
      <c r="C335" s="4"/>
      <c r="D335" s="4"/>
      <c r="E335" s="8"/>
      <c r="F335" s="8"/>
      <c r="G335" s="55"/>
      <c r="H335" s="3"/>
    </row>
    <row r="336" spans="1:8" s="2" customFormat="1" x14ac:dyDescent="0.2">
      <c r="A336" s="26"/>
      <c r="C336" s="4"/>
      <c r="D336" s="4"/>
      <c r="E336" s="8"/>
      <c r="F336" s="8"/>
      <c r="G336" s="55"/>
      <c r="H336" s="3"/>
    </row>
    <row r="337" spans="1:8" s="2" customFormat="1" x14ac:dyDescent="0.2">
      <c r="A337" s="26"/>
      <c r="C337" s="4"/>
      <c r="D337" s="4"/>
      <c r="E337" s="8"/>
      <c r="F337" s="8"/>
      <c r="G337" s="55"/>
      <c r="H337" s="3"/>
    </row>
    <row r="338" spans="1:8" s="2" customFormat="1" x14ac:dyDescent="0.2">
      <c r="A338" s="26"/>
      <c r="C338" s="4"/>
      <c r="D338" s="4"/>
      <c r="E338" s="8"/>
      <c r="F338" s="8"/>
      <c r="G338" s="55"/>
      <c r="H338" s="3"/>
    </row>
    <row r="339" spans="1:8" s="2" customFormat="1" x14ac:dyDescent="0.2">
      <c r="A339" s="26"/>
      <c r="C339" s="4"/>
      <c r="D339" s="4"/>
      <c r="E339" s="8"/>
      <c r="F339" s="8"/>
      <c r="G339" s="55"/>
      <c r="H339" s="3"/>
    </row>
    <row r="340" spans="1:8" s="2" customFormat="1" x14ac:dyDescent="0.2">
      <c r="A340" s="26"/>
      <c r="C340" s="4"/>
      <c r="D340" s="4"/>
      <c r="E340" s="8"/>
      <c r="F340" s="8"/>
      <c r="G340" s="55"/>
      <c r="H340" s="3"/>
    </row>
    <row r="341" spans="1:8" s="2" customFormat="1" x14ac:dyDescent="0.2">
      <c r="A341" s="26"/>
      <c r="C341" s="4"/>
      <c r="D341" s="4"/>
      <c r="E341" s="8"/>
      <c r="F341" s="8"/>
      <c r="G341" s="55"/>
      <c r="H341" s="3"/>
    </row>
    <row r="342" spans="1:8" s="2" customFormat="1" x14ac:dyDescent="0.2">
      <c r="A342" s="26"/>
      <c r="C342" s="4"/>
      <c r="D342" s="4"/>
      <c r="E342" s="8"/>
      <c r="F342" s="8"/>
      <c r="G342" s="55"/>
      <c r="H342" s="3"/>
    </row>
    <row r="343" spans="1:8" s="2" customFormat="1" x14ac:dyDescent="0.2">
      <c r="A343" s="26"/>
      <c r="C343" s="4"/>
      <c r="D343" s="4"/>
      <c r="E343" s="8"/>
      <c r="F343" s="8"/>
      <c r="G343" s="55"/>
      <c r="H343" s="3"/>
    </row>
    <row r="344" spans="1:8" s="2" customFormat="1" x14ac:dyDescent="0.2">
      <c r="A344" s="26"/>
      <c r="C344" s="4"/>
      <c r="D344" s="4"/>
      <c r="E344" s="8"/>
      <c r="F344" s="8"/>
      <c r="G344" s="55"/>
      <c r="H344" s="3"/>
    </row>
    <row r="345" spans="1:8" s="2" customFormat="1" x14ac:dyDescent="0.2">
      <c r="A345" s="26"/>
      <c r="C345" s="4"/>
      <c r="D345" s="4"/>
      <c r="E345" s="8"/>
      <c r="F345" s="8"/>
      <c r="G345" s="55"/>
      <c r="H345" s="3"/>
    </row>
    <row r="346" spans="1:8" s="2" customFormat="1" x14ac:dyDescent="0.2">
      <c r="A346" s="26"/>
      <c r="C346" s="4"/>
      <c r="D346" s="4"/>
      <c r="E346" s="8"/>
      <c r="F346" s="8"/>
      <c r="G346" s="55"/>
      <c r="H346" s="3"/>
    </row>
    <row r="347" spans="1:8" s="2" customFormat="1" x14ac:dyDescent="0.2">
      <c r="A347" s="26"/>
      <c r="C347" s="4"/>
      <c r="D347" s="4"/>
      <c r="E347" s="8"/>
      <c r="F347" s="8"/>
      <c r="G347" s="55"/>
      <c r="H347" s="3"/>
    </row>
    <row r="348" spans="1:8" s="2" customFormat="1" x14ac:dyDescent="0.2">
      <c r="A348" s="26"/>
      <c r="C348" s="4"/>
      <c r="D348" s="4"/>
      <c r="E348" s="8"/>
      <c r="F348" s="8"/>
      <c r="G348" s="55"/>
      <c r="H348" s="3"/>
    </row>
    <row r="349" spans="1:8" s="2" customFormat="1" x14ac:dyDescent="0.2">
      <c r="A349" s="26"/>
      <c r="C349" s="4"/>
      <c r="D349" s="4"/>
      <c r="E349" s="8"/>
      <c r="F349" s="8"/>
      <c r="G349" s="55"/>
      <c r="H349" s="3"/>
    </row>
    <row r="350" spans="1:8" s="2" customFormat="1" x14ac:dyDescent="0.2">
      <c r="A350" s="26"/>
      <c r="C350" s="4"/>
      <c r="D350" s="4"/>
      <c r="E350" s="8"/>
      <c r="F350" s="8"/>
      <c r="G350" s="55"/>
      <c r="H350" s="3"/>
    </row>
    <row r="351" spans="1:8" s="2" customFormat="1" x14ac:dyDescent="0.2">
      <c r="A351" s="26"/>
      <c r="C351" s="4"/>
      <c r="D351" s="4"/>
      <c r="E351" s="8"/>
      <c r="F351" s="8"/>
      <c r="G351" s="55"/>
      <c r="H351" s="3"/>
    </row>
    <row r="352" spans="1:8" s="2" customFormat="1" x14ac:dyDescent="0.2">
      <c r="A352" s="26"/>
      <c r="C352" s="4"/>
      <c r="D352" s="4"/>
      <c r="E352" s="8"/>
      <c r="F352" s="8"/>
      <c r="G352" s="55"/>
      <c r="H352" s="3"/>
    </row>
    <row r="353" spans="1:8" s="2" customFormat="1" x14ac:dyDescent="0.2">
      <c r="A353" s="26"/>
      <c r="C353" s="4"/>
      <c r="D353" s="4"/>
      <c r="E353" s="8"/>
      <c r="F353" s="8"/>
      <c r="G353" s="55"/>
      <c r="H353" s="3"/>
    </row>
    <row r="354" spans="1:8" s="2" customFormat="1" x14ac:dyDescent="0.2">
      <c r="A354" s="26"/>
      <c r="C354" s="4"/>
      <c r="D354" s="4"/>
      <c r="E354" s="8"/>
      <c r="F354" s="8"/>
      <c r="G354" s="55"/>
      <c r="H354" s="3"/>
    </row>
    <row r="355" spans="1:8" s="2" customFormat="1" x14ac:dyDescent="0.2">
      <c r="A355" s="26"/>
      <c r="C355" s="4"/>
      <c r="D355" s="4"/>
      <c r="E355" s="8"/>
      <c r="F355" s="8"/>
      <c r="G355" s="55"/>
      <c r="H355" s="3"/>
    </row>
    <row r="356" spans="1:8" s="2" customFormat="1" x14ac:dyDescent="0.2">
      <c r="A356" s="26"/>
      <c r="C356" s="4"/>
      <c r="D356" s="4"/>
      <c r="E356" s="8"/>
      <c r="F356" s="8"/>
      <c r="G356" s="55"/>
      <c r="H356" s="3"/>
    </row>
    <row r="357" spans="1:8" s="2" customFormat="1" x14ac:dyDescent="0.2">
      <c r="A357" s="26"/>
      <c r="C357" s="4"/>
      <c r="D357" s="4"/>
      <c r="E357" s="8"/>
      <c r="F357" s="8"/>
      <c r="G357" s="55"/>
      <c r="H357" s="3"/>
    </row>
    <row r="358" spans="1:8" s="2" customFormat="1" x14ac:dyDescent="0.2">
      <c r="A358" s="26"/>
      <c r="C358" s="4"/>
      <c r="D358" s="4"/>
      <c r="E358" s="8"/>
      <c r="F358" s="8"/>
      <c r="G358" s="55"/>
      <c r="H358" s="3"/>
    </row>
    <row r="359" spans="1:8" s="2" customFormat="1" x14ac:dyDescent="0.2">
      <c r="A359" s="26"/>
      <c r="C359" s="4"/>
      <c r="D359" s="4"/>
      <c r="E359" s="8"/>
      <c r="F359" s="8"/>
      <c r="G359" s="55"/>
      <c r="H359" s="3"/>
    </row>
    <row r="360" spans="1:8" s="2" customFormat="1" x14ac:dyDescent="0.2">
      <c r="A360" s="26"/>
      <c r="C360" s="4"/>
      <c r="D360" s="4"/>
      <c r="E360" s="8"/>
      <c r="F360" s="8"/>
      <c r="G360" s="55"/>
      <c r="H360" s="3"/>
    </row>
    <row r="361" spans="1:8" s="2" customFormat="1" x14ac:dyDescent="0.2">
      <c r="A361" s="26"/>
      <c r="C361" s="4"/>
      <c r="D361" s="4"/>
      <c r="E361" s="8"/>
      <c r="F361" s="8"/>
      <c r="G361" s="55"/>
      <c r="H361" s="3"/>
    </row>
    <row r="362" spans="1:8" s="2" customFormat="1" x14ac:dyDescent="0.2">
      <c r="A362" s="26"/>
      <c r="C362" s="4"/>
      <c r="D362" s="4"/>
      <c r="E362" s="8"/>
      <c r="F362" s="8"/>
      <c r="G362" s="55"/>
      <c r="H362" s="3"/>
    </row>
    <row r="363" spans="1:8" s="2" customFormat="1" x14ac:dyDescent="0.2">
      <c r="A363" s="26"/>
      <c r="C363" s="4"/>
      <c r="D363" s="4"/>
      <c r="E363" s="8"/>
      <c r="F363" s="8"/>
      <c r="G363" s="55"/>
      <c r="H363" s="3"/>
    </row>
    <row r="364" spans="1:8" s="2" customFormat="1" x14ac:dyDescent="0.2">
      <c r="A364" s="26"/>
      <c r="C364" s="4"/>
      <c r="D364" s="4"/>
      <c r="E364" s="8"/>
      <c r="F364" s="8"/>
      <c r="G364" s="55"/>
      <c r="H364" s="3"/>
    </row>
    <row r="365" spans="1:8" s="2" customFormat="1" x14ac:dyDescent="0.2">
      <c r="A365" s="26"/>
      <c r="C365" s="4"/>
      <c r="D365" s="4"/>
      <c r="E365" s="8"/>
      <c r="F365" s="8"/>
      <c r="G365" s="55"/>
      <c r="H365" s="3"/>
    </row>
    <row r="366" spans="1:8" s="2" customFormat="1" x14ac:dyDescent="0.2">
      <c r="A366" s="26"/>
      <c r="C366" s="4"/>
      <c r="D366" s="4"/>
      <c r="E366" s="8"/>
      <c r="F366" s="8"/>
      <c r="G366" s="55"/>
      <c r="H366" s="3"/>
    </row>
    <row r="367" spans="1:8" s="2" customFormat="1" x14ac:dyDescent="0.2">
      <c r="A367" s="26"/>
      <c r="C367" s="4"/>
      <c r="D367" s="4"/>
      <c r="E367" s="8"/>
      <c r="F367" s="8"/>
      <c r="G367" s="55"/>
      <c r="H367" s="3"/>
    </row>
    <row r="368" spans="1:8" s="2" customFormat="1" x14ac:dyDescent="0.2">
      <c r="A368" s="26"/>
      <c r="C368" s="4"/>
      <c r="D368" s="4"/>
      <c r="E368" s="8"/>
      <c r="F368" s="8"/>
      <c r="G368" s="55"/>
      <c r="H368" s="3"/>
    </row>
    <row r="369" spans="1:8" s="2" customFormat="1" x14ac:dyDescent="0.2">
      <c r="A369" s="26"/>
      <c r="C369" s="4"/>
      <c r="D369" s="4"/>
      <c r="E369" s="8"/>
      <c r="F369" s="8"/>
      <c r="G369" s="55"/>
      <c r="H369" s="3"/>
    </row>
    <row r="370" spans="1:8" s="2" customFormat="1" x14ac:dyDescent="0.2">
      <c r="A370" s="26"/>
      <c r="C370" s="4"/>
      <c r="D370" s="4"/>
      <c r="E370" s="8"/>
      <c r="F370" s="8"/>
      <c r="G370" s="55"/>
      <c r="H370" s="3"/>
    </row>
    <row r="371" spans="1:8" s="2" customFormat="1" x14ac:dyDescent="0.2">
      <c r="A371" s="26"/>
      <c r="C371" s="4"/>
      <c r="D371" s="4"/>
      <c r="E371" s="8"/>
      <c r="F371" s="8"/>
      <c r="G371" s="55"/>
      <c r="H371" s="3"/>
    </row>
    <row r="372" spans="1:8" s="2" customFormat="1" x14ac:dyDescent="0.2">
      <c r="A372" s="26"/>
      <c r="C372" s="4"/>
      <c r="D372" s="4"/>
      <c r="E372" s="8"/>
      <c r="F372" s="8"/>
      <c r="G372" s="55"/>
      <c r="H372" s="3"/>
    </row>
    <row r="373" spans="1:8" s="2" customFormat="1" x14ac:dyDescent="0.2">
      <c r="A373" s="26"/>
      <c r="C373" s="4"/>
      <c r="D373" s="4"/>
      <c r="E373" s="8"/>
      <c r="F373" s="8"/>
      <c r="G373" s="55"/>
      <c r="H373" s="3"/>
    </row>
    <row r="374" spans="1:8" s="2" customFormat="1" x14ac:dyDescent="0.2">
      <c r="A374" s="26"/>
      <c r="C374" s="4"/>
      <c r="D374" s="4"/>
      <c r="E374" s="8"/>
      <c r="F374" s="8"/>
      <c r="G374" s="55"/>
      <c r="H374" s="3"/>
    </row>
    <row r="375" spans="1:8" s="2" customFormat="1" x14ac:dyDescent="0.2">
      <c r="A375" s="26"/>
      <c r="C375" s="4"/>
      <c r="D375" s="4"/>
      <c r="E375" s="8"/>
      <c r="F375" s="8"/>
      <c r="G375" s="55"/>
      <c r="H375" s="3"/>
    </row>
    <row r="376" spans="1:8" s="2" customFormat="1" x14ac:dyDescent="0.2">
      <c r="A376" s="26"/>
      <c r="C376" s="4"/>
      <c r="D376" s="4"/>
      <c r="E376" s="8"/>
      <c r="F376" s="8"/>
      <c r="G376" s="55"/>
      <c r="H376" s="3"/>
    </row>
    <row r="377" spans="1:8" s="2" customFormat="1" x14ac:dyDescent="0.2">
      <c r="A377" s="26"/>
      <c r="C377" s="4"/>
      <c r="D377" s="4"/>
      <c r="E377" s="8"/>
      <c r="F377" s="8"/>
      <c r="G377" s="55"/>
      <c r="H377" s="3"/>
    </row>
    <row r="378" spans="1:8" s="2" customFormat="1" x14ac:dyDescent="0.2">
      <c r="A378" s="26"/>
      <c r="C378" s="4"/>
      <c r="D378" s="4"/>
      <c r="E378" s="8"/>
      <c r="F378" s="9"/>
      <c r="G378" s="54"/>
    </row>
    <row r="379" spans="1:8" s="2" customFormat="1" x14ac:dyDescent="0.2">
      <c r="A379" s="26"/>
      <c r="E379" s="9"/>
      <c r="F379" s="9"/>
      <c r="G379" s="54"/>
    </row>
    <row r="380" spans="1:8" s="2" customFormat="1" x14ac:dyDescent="0.2">
      <c r="A380" s="26"/>
      <c r="E380" s="9"/>
      <c r="F380" s="9"/>
      <c r="G380" s="54"/>
    </row>
    <row r="381" spans="1:8" s="2" customFormat="1" x14ac:dyDescent="0.2">
      <c r="A381" s="26"/>
      <c r="E381" s="9"/>
      <c r="F381" s="9"/>
      <c r="G381" s="54"/>
    </row>
    <row r="382" spans="1:8" s="2" customFormat="1" x14ac:dyDescent="0.2">
      <c r="A382" s="26"/>
      <c r="E382" s="9"/>
      <c r="F382" s="9"/>
      <c r="G382" s="54"/>
    </row>
    <row r="383" spans="1:8" s="2" customFormat="1" x14ac:dyDescent="0.2">
      <c r="A383" s="26"/>
      <c r="E383" s="9"/>
      <c r="F383" s="9"/>
      <c r="G383" s="54"/>
    </row>
    <row r="384" spans="1:8" s="2" customFormat="1" x14ac:dyDescent="0.2">
      <c r="A384" s="26"/>
      <c r="E384" s="9"/>
      <c r="F384" s="9"/>
      <c r="G384" s="54"/>
    </row>
    <row r="385" spans="1:7" s="2" customFormat="1" x14ac:dyDescent="0.2">
      <c r="A385" s="26"/>
      <c r="E385" s="9"/>
      <c r="F385" s="9"/>
      <c r="G385" s="54"/>
    </row>
    <row r="386" spans="1:7" s="2" customFormat="1" x14ac:dyDescent="0.2">
      <c r="A386" s="26"/>
      <c r="E386" s="9"/>
      <c r="F386" s="9"/>
      <c r="G386" s="54"/>
    </row>
    <row r="387" spans="1:7" s="2" customFormat="1" x14ac:dyDescent="0.2">
      <c r="A387" s="26"/>
      <c r="E387" s="9"/>
      <c r="F387" s="9"/>
      <c r="G387" s="54"/>
    </row>
    <row r="388" spans="1:7" s="2" customFormat="1" x14ac:dyDescent="0.2">
      <c r="A388" s="26"/>
      <c r="E388" s="9"/>
      <c r="F388" s="9"/>
      <c r="G388" s="54"/>
    </row>
    <row r="389" spans="1:7" s="2" customFormat="1" x14ac:dyDescent="0.2">
      <c r="A389" s="26"/>
      <c r="E389" s="9"/>
      <c r="F389" s="9"/>
      <c r="G389" s="54"/>
    </row>
    <row r="390" spans="1:7" s="2" customFormat="1" x14ac:dyDescent="0.2">
      <c r="A390" s="26"/>
      <c r="E390" s="9"/>
      <c r="F390" s="9"/>
      <c r="G390" s="54"/>
    </row>
    <row r="391" spans="1:7" s="2" customFormat="1" x14ac:dyDescent="0.2">
      <c r="A391" s="26"/>
      <c r="E391" s="9"/>
      <c r="F391" s="9"/>
      <c r="G391" s="54"/>
    </row>
    <row r="392" spans="1:7" s="2" customFormat="1" x14ac:dyDescent="0.2">
      <c r="A392" s="26"/>
      <c r="E392" s="9"/>
      <c r="F392" s="9"/>
      <c r="G392" s="54"/>
    </row>
    <row r="393" spans="1:7" s="2" customFormat="1" x14ac:dyDescent="0.2">
      <c r="A393" s="26"/>
      <c r="E393" s="9"/>
      <c r="F393" s="9"/>
      <c r="G393" s="54"/>
    </row>
    <row r="394" spans="1:7" s="2" customFormat="1" x14ac:dyDescent="0.2">
      <c r="A394" s="26"/>
      <c r="E394" s="9"/>
      <c r="F394" s="9"/>
      <c r="G394" s="54"/>
    </row>
    <row r="395" spans="1:7" s="2" customFormat="1" x14ac:dyDescent="0.2">
      <c r="A395" s="26"/>
      <c r="E395" s="9"/>
      <c r="F395" s="9"/>
      <c r="G395" s="54"/>
    </row>
    <row r="396" spans="1:7" s="2" customFormat="1" x14ac:dyDescent="0.2">
      <c r="A396" s="26"/>
      <c r="E396" s="9"/>
      <c r="F396" s="9"/>
      <c r="G396" s="54"/>
    </row>
    <row r="397" spans="1:7" s="2" customFormat="1" x14ac:dyDescent="0.2">
      <c r="A397" s="26"/>
      <c r="E397" s="9"/>
      <c r="F397" s="9"/>
      <c r="G397" s="54"/>
    </row>
    <row r="398" spans="1:7" s="2" customFormat="1" x14ac:dyDescent="0.2">
      <c r="A398" s="26"/>
      <c r="E398" s="9"/>
      <c r="F398" s="9"/>
      <c r="G398" s="54"/>
    </row>
    <row r="399" spans="1:7" s="2" customFormat="1" x14ac:dyDescent="0.2">
      <c r="A399" s="26"/>
      <c r="E399" s="9"/>
      <c r="F399" s="9"/>
      <c r="G399" s="54"/>
    </row>
    <row r="400" spans="1:7" s="2" customFormat="1" x14ac:dyDescent="0.2">
      <c r="A400" s="26"/>
      <c r="E400" s="9"/>
      <c r="F400" s="9"/>
      <c r="G400" s="54"/>
    </row>
    <row r="401" spans="1:7" s="2" customFormat="1" x14ac:dyDescent="0.2">
      <c r="A401" s="26"/>
      <c r="E401" s="9"/>
      <c r="F401" s="9"/>
      <c r="G401" s="54"/>
    </row>
    <row r="402" spans="1:7" s="2" customFormat="1" x14ac:dyDescent="0.2">
      <c r="A402" s="26"/>
      <c r="E402" s="9"/>
      <c r="F402" s="9"/>
      <c r="G402" s="54"/>
    </row>
    <row r="403" spans="1:7" s="2" customFormat="1" x14ac:dyDescent="0.2">
      <c r="A403" s="26"/>
      <c r="E403" s="9"/>
      <c r="F403" s="9"/>
      <c r="G403" s="54"/>
    </row>
    <row r="404" spans="1:7" s="2" customFormat="1" x14ac:dyDescent="0.2">
      <c r="A404" s="26"/>
      <c r="E404" s="9"/>
      <c r="F404" s="9"/>
      <c r="G404" s="54"/>
    </row>
    <row r="405" spans="1:7" s="2" customFormat="1" x14ac:dyDescent="0.2">
      <c r="A405" s="26"/>
      <c r="E405" s="9"/>
      <c r="F405" s="9"/>
      <c r="G405" s="54"/>
    </row>
    <row r="406" spans="1:7" s="2" customFormat="1" x14ac:dyDescent="0.2">
      <c r="A406" s="26"/>
      <c r="E406" s="9"/>
      <c r="F406" s="9"/>
      <c r="G406" s="54"/>
    </row>
    <row r="407" spans="1:7" s="2" customFormat="1" x14ac:dyDescent="0.2">
      <c r="A407" s="26"/>
      <c r="E407" s="9"/>
      <c r="F407" s="9"/>
      <c r="G407" s="54"/>
    </row>
    <row r="408" spans="1:7" s="2" customFormat="1" x14ac:dyDescent="0.2">
      <c r="A408" s="26"/>
      <c r="E408" s="9"/>
      <c r="F408" s="9"/>
      <c r="G408" s="54"/>
    </row>
    <row r="409" spans="1:7" s="2" customFormat="1" x14ac:dyDescent="0.2">
      <c r="A409" s="26"/>
      <c r="E409" s="9"/>
      <c r="F409" s="9"/>
      <c r="G409" s="54"/>
    </row>
    <row r="410" spans="1:7" s="2" customFormat="1" x14ac:dyDescent="0.2">
      <c r="A410" s="26"/>
      <c r="E410" s="9"/>
      <c r="F410" s="9"/>
      <c r="G410" s="54"/>
    </row>
    <row r="411" spans="1:7" s="2" customFormat="1" x14ac:dyDescent="0.2">
      <c r="A411" s="26"/>
      <c r="E411" s="9"/>
      <c r="F411" s="9"/>
      <c r="G411" s="54"/>
    </row>
    <row r="412" spans="1:7" s="2" customFormat="1" x14ac:dyDescent="0.2">
      <c r="A412" s="26"/>
      <c r="E412" s="9"/>
      <c r="F412" s="9"/>
      <c r="G412" s="54"/>
    </row>
    <row r="413" spans="1:7" s="2" customFormat="1" x14ac:dyDescent="0.2">
      <c r="A413" s="26"/>
      <c r="E413" s="9"/>
      <c r="F413" s="9"/>
      <c r="G413" s="54"/>
    </row>
    <row r="414" spans="1:7" s="2" customFormat="1" x14ac:dyDescent="0.2">
      <c r="A414" s="26"/>
      <c r="E414" s="9"/>
      <c r="F414" s="9"/>
      <c r="G414" s="54"/>
    </row>
    <row r="415" spans="1:7" s="2" customFormat="1" x14ac:dyDescent="0.2">
      <c r="A415" s="26"/>
      <c r="E415" s="9"/>
      <c r="F415" s="9"/>
      <c r="G415" s="54"/>
    </row>
    <row r="416" spans="1:7" s="2" customFormat="1" x14ac:dyDescent="0.2">
      <c r="A416" s="26"/>
      <c r="E416" s="9"/>
      <c r="F416" s="9"/>
      <c r="G416" s="54"/>
    </row>
    <row r="417" spans="1:7" s="2" customFormat="1" x14ac:dyDescent="0.2">
      <c r="A417" s="26"/>
      <c r="E417" s="9"/>
      <c r="F417" s="9"/>
      <c r="G417" s="54"/>
    </row>
    <row r="418" spans="1:7" s="2" customFormat="1" x14ac:dyDescent="0.2">
      <c r="A418" s="26"/>
      <c r="E418" s="9"/>
      <c r="F418" s="9"/>
      <c r="G418" s="54"/>
    </row>
    <row r="419" spans="1:7" s="2" customFormat="1" x14ac:dyDescent="0.2">
      <c r="A419" s="26"/>
      <c r="E419" s="9"/>
      <c r="F419" s="9"/>
      <c r="G419" s="54"/>
    </row>
    <row r="420" spans="1:7" s="2" customFormat="1" x14ac:dyDescent="0.2">
      <c r="A420" s="26"/>
      <c r="E420" s="9"/>
      <c r="F420" s="9"/>
      <c r="G420" s="54"/>
    </row>
    <row r="421" spans="1:7" s="2" customFormat="1" x14ac:dyDescent="0.2">
      <c r="A421" s="26"/>
      <c r="E421" s="9"/>
      <c r="F421" s="9"/>
      <c r="G421" s="54"/>
    </row>
    <row r="422" spans="1:7" s="2" customFormat="1" x14ac:dyDescent="0.2">
      <c r="A422" s="26"/>
      <c r="E422" s="9"/>
      <c r="F422" s="9"/>
      <c r="G422" s="54"/>
    </row>
    <row r="423" spans="1:7" s="2" customFormat="1" x14ac:dyDescent="0.2">
      <c r="A423" s="26"/>
      <c r="E423" s="9"/>
      <c r="F423" s="9"/>
      <c r="G423" s="54"/>
    </row>
    <row r="424" spans="1:7" s="2" customFormat="1" x14ac:dyDescent="0.2">
      <c r="A424" s="26"/>
      <c r="E424" s="9"/>
      <c r="F424" s="9"/>
      <c r="G424" s="54"/>
    </row>
    <row r="425" spans="1:7" s="2" customFormat="1" x14ac:dyDescent="0.2">
      <c r="A425" s="26"/>
      <c r="E425" s="9"/>
      <c r="F425" s="9"/>
      <c r="G425" s="54"/>
    </row>
    <row r="426" spans="1:7" s="2" customFormat="1" x14ac:dyDescent="0.2">
      <c r="A426" s="26"/>
      <c r="E426" s="9"/>
      <c r="F426" s="9"/>
      <c r="G426" s="54"/>
    </row>
    <row r="427" spans="1:7" s="2" customFormat="1" x14ac:dyDescent="0.2">
      <c r="A427" s="26"/>
      <c r="E427" s="9"/>
      <c r="F427" s="9"/>
      <c r="G427" s="54"/>
    </row>
    <row r="428" spans="1:7" s="2" customFormat="1" x14ac:dyDescent="0.2">
      <c r="A428" s="26"/>
      <c r="E428" s="9"/>
      <c r="F428" s="9"/>
      <c r="G428" s="54"/>
    </row>
    <row r="429" spans="1:7" s="2" customFormat="1" x14ac:dyDescent="0.2">
      <c r="A429" s="26"/>
      <c r="E429" s="9"/>
      <c r="F429" s="9"/>
      <c r="G429" s="54"/>
    </row>
    <row r="430" spans="1:7" s="2" customFormat="1" x14ac:dyDescent="0.2">
      <c r="A430" s="26"/>
      <c r="E430" s="9"/>
      <c r="F430" s="9"/>
      <c r="G430" s="54"/>
    </row>
    <row r="431" spans="1:7" s="2" customFormat="1" x14ac:dyDescent="0.2">
      <c r="A431" s="26"/>
      <c r="E431" s="9"/>
      <c r="F431" s="9"/>
      <c r="G431" s="54"/>
    </row>
    <row r="432" spans="1:7" s="2" customFormat="1" x14ac:dyDescent="0.2">
      <c r="A432" s="26"/>
      <c r="E432" s="9"/>
      <c r="F432" s="9"/>
      <c r="G432" s="54"/>
    </row>
    <row r="433" spans="1:7" s="2" customFormat="1" x14ac:dyDescent="0.2">
      <c r="A433" s="26"/>
      <c r="E433" s="9"/>
      <c r="F433" s="9"/>
      <c r="G433" s="54"/>
    </row>
    <row r="434" spans="1:7" s="2" customFormat="1" x14ac:dyDescent="0.2">
      <c r="A434" s="26"/>
      <c r="E434" s="9"/>
      <c r="F434" s="9"/>
      <c r="G434" s="54"/>
    </row>
    <row r="435" spans="1:7" s="2" customFormat="1" x14ac:dyDescent="0.2">
      <c r="A435" s="26"/>
      <c r="E435" s="9"/>
      <c r="F435" s="9"/>
      <c r="G435" s="54"/>
    </row>
    <row r="436" spans="1:7" s="2" customFormat="1" x14ac:dyDescent="0.2">
      <c r="A436" s="26"/>
      <c r="E436" s="9"/>
      <c r="F436" s="9"/>
      <c r="G436" s="54"/>
    </row>
    <row r="437" spans="1:7" s="2" customFormat="1" x14ac:dyDescent="0.2">
      <c r="A437" s="26"/>
      <c r="E437" s="9"/>
      <c r="F437" s="9"/>
      <c r="G437" s="54"/>
    </row>
    <row r="438" spans="1:7" s="2" customFormat="1" x14ac:dyDescent="0.2">
      <c r="A438" s="26"/>
      <c r="E438" s="9"/>
      <c r="F438" s="9"/>
      <c r="G438" s="54"/>
    </row>
    <row r="439" spans="1:7" s="2" customFormat="1" x14ac:dyDescent="0.2">
      <c r="A439" s="26"/>
      <c r="E439" s="9"/>
      <c r="F439" s="9"/>
      <c r="G439" s="54"/>
    </row>
    <row r="440" spans="1:7" s="2" customFormat="1" x14ac:dyDescent="0.2">
      <c r="A440" s="26"/>
      <c r="E440" s="9"/>
      <c r="F440" s="9"/>
      <c r="G440" s="54"/>
    </row>
    <row r="441" spans="1:7" s="2" customFormat="1" x14ac:dyDescent="0.2">
      <c r="A441" s="26"/>
      <c r="E441" s="9"/>
      <c r="F441" s="9"/>
      <c r="G441" s="54"/>
    </row>
    <row r="442" spans="1:7" s="2" customFormat="1" x14ac:dyDescent="0.2">
      <c r="A442" s="26"/>
      <c r="E442" s="9"/>
      <c r="F442" s="9"/>
      <c r="G442" s="54"/>
    </row>
    <row r="443" spans="1:7" s="2" customFormat="1" x14ac:dyDescent="0.2">
      <c r="A443" s="26"/>
      <c r="E443" s="9"/>
      <c r="F443" s="9"/>
      <c r="G443" s="54"/>
    </row>
    <row r="444" spans="1:7" s="2" customFormat="1" x14ac:dyDescent="0.2">
      <c r="A444" s="26"/>
      <c r="E444" s="9"/>
      <c r="F444" s="9"/>
      <c r="G444" s="54"/>
    </row>
    <row r="445" spans="1:7" s="2" customFormat="1" x14ac:dyDescent="0.2">
      <c r="A445" s="26"/>
      <c r="E445" s="9"/>
      <c r="F445" s="9"/>
      <c r="G445" s="54"/>
    </row>
    <row r="446" spans="1:7" s="2" customFormat="1" x14ac:dyDescent="0.2">
      <c r="A446" s="26"/>
      <c r="E446" s="9"/>
      <c r="F446" s="9"/>
      <c r="G446" s="54"/>
    </row>
    <row r="447" spans="1:7" s="2" customFormat="1" x14ac:dyDescent="0.2">
      <c r="A447" s="26"/>
      <c r="E447" s="9"/>
      <c r="F447" s="9"/>
      <c r="G447" s="54"/>
    </row>
    <row r="448" spans="1:7" s="2" customFormat="1" x14ac:dyDescent="0.2">
      <c r="A448" s="26"/>
      <c r="E448" s="9"/>
      <c r="F448" s="9"/>
      <c r="G448" s="54"/>
    </row>
    <row r="449" spans="1:7" s="2" customFormat="1" x14ac:dyDescent="0.2">
      <c r="A449" s="26"/>
      <c r="E449" s="9"/>
      <c r="F449" s="9"/>
      <c r="G449" s="54"/>
    </row>
    <row r="450" spans="1:7" s="2" customFormat="1" x14ac:dyDescent="0.2">
      <c r="A450" s="26"/>
      <c r="E450" s="9"/>
      <c r="F450" s="9"/>
      <c r="G450" s="54"/>
    </row>
    <row r="451" spans="1:7" s="2" customFormat="1" x14ac:dyDescent="0.2">
      <c r="A451" s="26"/>
      <c r="E451" s="9"/>
      <c r="F451" s="9"/>
      <c r="G451" s="54"/>
    </row>
    <row r="452" spans="1:7" s="2" customFormat="1" x14ac:dyDescent="0.2">
      <c r="A452" s="26"/>
      <c r="E452" s="9"/>
      <c r="F452" s="9"/>
      <c r="G452" s="54"/>
    </row>
    <row r="453" spans="1:7" s="2" customFormat="1" x14ac:dyDescent="0.2">
      <c r="A453" s="26"/>
      <c r="E453" s="9"/>
      <c r="F453" s="9"/>
      <c r="G453" s="54"/>
    </row>
    <row r="454" spans="1:7" s="2" customFormat="1" x14ac:dyDescent="0.2">
      <c r="A454" s="26"/>
      <c r="E454" s="9"/>
      <c r="F454" s="9"/>
      <c r="G454" s="54"/>
    </row>
    <row r="455" spans="1:7" s="2" customFormat="1" x14ac:dyDescent="0.2">
      <c r="A455" s="26"/>
      <c r="E455" s="9"/>
      <c r="F455" s="9"/>
      <c r="G455" s="54"/>
    </row>
    <row r="456" spans="1:7" s="2" customFormat="1" x14ac:dyDescent="0.2">
      <c r="A456" s="26"/>
      <c r="E456" s="9"/>
      <c r="F456" s="9"/>
      <c r="G456" s="54"/>
    </row>
    <row r="457" spans="1:7" s="2" customFormat="1" x14ac:dyDescent="0.2">
      <c r="A457" s="26"/>
      <c r="E457" s="9"/>
      <c r="F457" s="9"/>
      <c r="G457" s="54"/>
    </row>
    <row r="458" spans="1:7" s="2" customFormat="1" x14ac:dyDescent="0.2">
      <c r="A458" s="26"/>
      <c r="E458" s="9"/>
      <c r="F458" s="9"/>
      <c r="G458" s="54"/>
    </row>
    <row r="459" spans="1:7" s="2" customFormat="1" x14ac:dyDescent="0.2">
      <c r="A459" s="26"/>
      <c r="E459" s="9"/>
      <c r="F459" s="9"/>
      <c r="G459" s="54"/>
    </row>
    <row r="460" spans="1:7" s="2" customFormat="1" x14ac:dyDescent="0.2">
      <c r="A460" s="26"/>
      <c r="E460" s="9"/>
      <c r="F460" s="9"/>
      <c r="G460" s="54"/>
    </row>
    <row r="461" spans="1:7" s="2" customFormat="1" x14ac:dyDescent="0.2">
      <c r="A461" s="26"/>
      <c r="E461" s="9"/>
      <c r="F461" s="9"/>
      <c r="G461" s="54"/>
    </row>
    <row r="462" spans="1:7" s="2" customFormat="1" x14ac:dyDescent="0.2">
      <c r="A462" s="26"/>
      <c r="E462" s="9"/>
      <c r="F462" s="9"/>
      <c r="G462" s="54"/>
    </row>
    <row r="463" spans="1:7" s="2" customFormat="1" x14ac:dyDescent="0.2">
      <c r="A463" s="26"/>
      <c r="E463" s="9"/>
      <c r="F463" s="9"/>
      <c r="G463" s="54"/>
    </row>
    <row r="464" spans="1:7" s="2" customFormat="1" x14ac:dyDescent="0.2">
      <c r="A464" s="26"/>
      <c r="E464" s="9"/>
      <c r="F464" s="9"/>
      <c r="G464" s="54"/>
    </row>
    <row r="465" spans="1:7" s="2" customFormat="1" x14ac:dyDescent="0.2">
      <c r="A465" s="26"/>
      <c r="E465" s="9"/>
      <c r="F465" s="9"/>
      <c r="G465" s="54"/>
    </row>
    <row r="466" spans="1:7" s="2" customFormat="1" x14ac:dyDescent="0.2">
      <c r="A466" s="26"/>
      <c r="E466" s="9"/>
      <c r="F466" s="9"/>
      <c r="G466" s="54"/>
    </row>
    <row r="467" spans="1:7" s="2" customFormat="1" x14ac:dyDescent="0.2">
      <c r="A467" s="26"/>
      <c r="E467" s="9"/>
      <c r="F467" s="9"/>
      <c r="G467" s="54"/>
    </row>
    <row r="468" spans="1:7" s="2" customFormat="1" x14ac:dyDescent="0.2">
      <c r="A468" s="26"/>
      <c r="E468" s="9"/>
      <c r="F468" s="9"/>
      <c r="G468" s="54"/>
    </row>
    <row r="469" spans="1:7" s="2" customFormat="1" x14ac:dyDescent="0.2">
      <c r="A469" s="26"/>
      <c r="E469" s="9"/>
      <c r="F469" s="9"/>
      <c r="G469" s="54"/>
    </row>
    <row r="470" spans="1:7" s="2" customFormat="1" x14ac:dyDescent="0.2">
      <c r="A470" s="26"/>
      <c r="E470" s="9"/>
      <c r="F470" s="9"/>
      <c r="G470" s="54"/>
    </row>
    <row r="471" spans="1:7" s="2" customFormat="1" x14ac:dyDescent="0.2">
      <c r="A471" s="26"/>
      <c r="E471" s="9"/>
      <c r="F471" s="9"/>
      <c r="G471" s="54"/>
    </row>
    <row r="472" spans="1:7" s="2" customFormat="1" x14ac:dyDescent="0.2">
      <c r="A472" s="26"/>
      <c r="E472" s="9"/>
      <c r="F472" s="9"/>
      <c r="G472" s="54"/>
    </row>
    <row r="473" spans="1:7" s="2" customFormat="1" x14ac:dyDescent="0.2">
      <c r="A473" s="26"/>
      <c r="E473" s="9"/>
      <c r="F473" s="9"/>
      <c r="G473" s="54"/>
    </row>
    <row r="474" spans="1:7" s="2" customFormat="1" x14ac:dyDescent="0.2">
      <c r="A474" s="26"/>
      <c r="E474" s="9"/>
      <c r="F474" s="9"/>
      <c r="G474" s="54"/>
    </row>
    <row r="475" spans="1:7" s="2" customFormat="1" x14ac:dyDescent="0.2">
      <c r="A475" s="26"/>
      <c r="E475" s="9"/>
      <c r="F475" s="9"/>
      <c r="G475" s="54"/>
    </row>
    <row r="476" spans="1:7" s="2" customFormat="1" x14ac:dyDescent="0.2">
      <c r="A476" s="26"/>
      <c r="E476" s="9"/>
      <c r="F476" s="9"/>
      <c r="G476" s="54"/>
    </row>
    <row r="477" spans="1:7" s="2" customFormat="1" x14ac:dyDescent="0.2">
      <c r="A477" s="26"/>
      <c r="E477" s="9"/>
      <c r="F477" s="9"/>
      <c r="G477" s="54"/>
    </row>
    <row r="478" spans="1:7" s="2" customFormat="1" x14ac:dyDescent="0.2">
      <c r="A478" s="26"/>
      <c r="E478" s="9"/>
      <c r="F478" s="9"/>
      <c r="G478" s="54"/>
    </row>
    <row r="479" spans="1:7" s="2" customFormat="1" x14ac:dyDescent="0.2">
      <c r="A479" s="26"/>
      <c r="E479" s="9"/>
      <c r="F479" s="9"/>
      <c r="G479" s="54"/>
    </row>
    <row r="480" spans="1:7" s="2" customFormat="1" x14ac:dyDescent="0.2">
      <c r="A480" s="26"/>
      <c r="E480" s="9"/>
      <c r="F480" s="9"/>
      <c r="G480" s="54"/>
    </row>
    <row r="481" spans="1:7" s="2" customFormat="1" x14ac:dyDescent="0.2">
      <c r="A481" s="26"/>
      <c r="E481" s="9"/>
      <c r="F481" s="9"/>
      <c r="G481" s="54"/>
    </row>
    <row r="482" spans="1:7" s="2" customFormat="1" x14ac:dyDescent="0.2">
      <c r="A482" s="26"/>
      <c r="E482" s="9"/>
      <c r="F482" s="9"/>
      <c r="G482" s="54"/>
    </row>
    <row r="483" spans="1:7" s="2" customFormat="1" x14ac:dyDescent="0.2">
      <c r="A483" s="26"/>
      <c r="E483" s="9"/>
      <c r="F483" s="9"/>
      <c r="G483" s="54"/>
    </row>
    <row r="484" spans="1:7" s="2" customFormat="1" x14ac:dyDescent="0.2">
      <c r="A484" s="26"/>
      <c r="E484" s="9"/>
      <c r="F484" s="9"/>
      <c r="G484" s="54"/>
    </row>
    <row r="485" spans="1:7" s="2" customFormat="1" x14ac:dyDescent="0.2">
      <c r="A485" s="26"/>
      <c r="E485" s="9"/>
      <c r="F485" s="9"/>
      <c r="G485" s="54"/>
    </row>
    <row r="486" spans="1:7" s="2" customFormat="1" x14ac:dyDescent="0.2">
      <c r="A486" s="26"/>
      <c r="E486" s="9"/>
      <c r="F486" s="9"/>
      <c r="G486" s="54"/>
    </row>
    <row r="487" spans="1:7" s="2" customFormat="1" x14ac:dyDescent="0.2">
      <c r="A487" s="26"/>
      <c r="E487" s="9"/>
      <c r="F487" s="9"/>
      <c r="G487" s="54"/>
    </row>
    <row r="488" spans="1:7" s="2" customFormat="1" x14ac:dyDescent="0.2">
      <c r="A488" s="26"/>
      <c r="E488" s="9"/>
      <c r="F488" s="9"/>
      <c r="G488" s="54"/>
    </row>
    <row r="489" spans="1:7" s="2" customFormat="1" x14ac:dyDescent="0.2">
      <c r="A489" s="26"/>
      <c r="E489" s="9"/>
      <c r="F489" s="9"/>
      <c r="G489" s="54"/>
    </row>
    <row r="490" spans="1:7" s="2" customFormat="1" x14ac:dyDescent="0.2">
      <c r="A490" s="26"/>
      <c r="E490" s="9"/>
      <c r="F490" s="9"/>
      <c r="G490" s="54"/>
    </row>
    <row r="491" spans="1:7" s="2" customFormat="1" x14ac:dyDescent="0.2">
      <c r="A491" s="26"/>
      <c r="E491" s="9"/>
      <c r="F491" s="9"/>
      <c r="G491" s="54"/>
    </row>
    <row r="492" spans="1:7" s="2" customFormat="1" x14ac:dyDescent="0.2">
      <c r="A492" s="26"/>
      <c r="E492" s="9"/>
      <c r="F492" s="9"/>
      <c r="G492" s="54"/>
    </row>
    <row r="493" spans="1:7" s="2" customFormat="1" x14ac:dyDescent="0.2">
      <c r="A493" s="26"/>
      <c r="E493" s="9"/>
      <c r="F493" s="9"/>
      <c r="G493" s="54"/>
    </row>
    <row r="494" spans="1:7" s="2" customFormat="1" x14ac:dyDescent="0.2">
      <c r="A494" s="26"/>
      <c r="E494" s="9"/>
      <c r="F494" s="9"/>
      <c r="G494" s="54"/>
    </row>
    <row r="495" spans="1:7" s="2" customFormat="1" x14ac:dyDescent="0.2">
      <c r="A495" s="26"/>
      <c r="E495" s="9"/>
      <c r="F495" s="9"/>
      <c r="G495" s="54"/>
    </row>
    <row r="496" spans="1:7" s="2" customFormat="1" x14ac:dyDescent="0.2">
      <c r="A496" s="26"/>
      <c r="E496" s="9"/>
      <c r="F496" s="9"/>
      <c r="G496" s="54"/>
    </row>
    <row r="497" spans="1:7" s="2" customFormat="1" x14ac:dyDescent="0.2">
      <c r="A497" s="26"/>
      <c r="E497" s="9"/>
      <c r="F497" s="9"/>
      <c r="G497" s="54"/>
    </row>
    <row r="498" spans="1:7" s="2" customFormat="1" x14ac:dyDescent="0.2">
      <c r="A498" s="26"/>
      <c r="E498" s="9"/>
      <c r="F498" s="9"/>
      <c r="G498" s="54"/>
    </row>
    <row r="499" spans="1:7" s="2" customFormat="1" x14ac:dyDescent="0.2">
      <c r="A499" s="26"/>
      <c r="E499" s="9"/>
      <c r="F499" s="9"/>
      <c r="G499" s="54"/>
    </row>
    <row r="500" spans="1:7" s="2" customFormat="1" x14ac:dyDescent="0.2">
      <c r="A500" s="26"/>
      <c r="E500" s="9"/>
      <c r="F500" s="9"/>
      <c r="G500" s="54"/>
    </row>
    <row r="501" spans="1:7" s="2" customFormat="1" x14ac:dyDescent="0.2">
      <c r="A501" s="26"/>
      <c r="E501" s="9"/>
      <c r="F501" s="9"/>
      <c r="G501" s="54"/>
    </row>
    <row r="502" spans="1:7" s="2" customFormat="1" x14ac:dyDescent="0.2">
      <c r="A502" s="26"/>
      <c r="E502" s="9"/>
      <c r="F502" s="9"/>
      <c r="G502" s="54"/>
    </row>
    <row r="503" spans="1:7" s="2" customFormat="1" x14ac:dyDescent="0.2">
      <c r="A503" s="26"/>
      <c r="E503" s="9"/>
      <c r="F503" s="9"/>
      <c r="G503" s="54"/>
    </row>
    <row r="504" spans="1:7" s="2" customFormat="1" x14ac:dyDescent="0.2">
      <c r="A504" s="26"/>
      <c r="E504" s="9"/>
      <c r="F504" s="9"/>
      <c r="G504" s="54"/>
    </row>
    <row r="505" spans="1:7" s="2" customFormat="1" x14ac:dyDescent="0.2">
      <c r="A505" s="26"/>
      <c r="E505" s="9"/>
      <c r="F505" s="9"/>
      <c r="G505" s="54"/>
    </row>
    <row r="506" spans="1:7" s="2" customFormat="1" x14ac:dyDescent="0.2">
      <c r="A506" s="26"/>
      <c r="E506" s="9"/>
      <c r="F506" s="9"/>
      <c r="G506" s="54"/>
    </row>
    <row r="507" spans="1:7" s="2" customFormat="1" x14ac:dyDescent="0.2">
      <c r="A507" s="26"/>
      <c r="E507" s="9"/>
      <c r="F507" s="9"/>
      <c r="G507" s="54"/>
    </row>
    <row r="508" spans="1:7" s="2" customFormat="1" x14ac:dyDescent="0.2">
      <c r="A508" s="26"/>
      <c r="E508" s="9"/>
      <c r="F508" s="9"/>
      <c r="G508" s="54"/>
    </row>
    <row r="509" spans="1:7" s="2" customFormat="1" x14ac:dyDescent="0.2">
      <c r="A509" s="26"/>
      <c r="E509" s="9"/>
      <c r="F509" s="9"/>
      <c r="G509" s="54"/>
    </row>
    <row r="510" spans="1:7" s="2" customFormat="1" x14ac:dyDescent="0.2">
      <c r="A510" s="26"/>
      <c r="E510" s="9"/>
      <c r="F510" s="9"/>
      <c r="G510" s="54"/>
    </row>
    <row r="511" spans="1:7" s="2" customFormat="1" x14ac:dyDescent="0.2">
      <c r="A511" s="26"/>
      <c r="E511" s="9"/>
      <c r="F511" s="9"/>
      <c r="G511" s="54"/>
    </row>
    <row r="512" spans="1:7" s="2" customFormat="1" x14ac:dyDescent="0.2">
      <c r="A512" s="26"/>
      <c r="E512" s="9"/>
      <c r="F512" s="9"/>
      <c r="G512" s="54"/>
    </row>
    <row r="513" spans="1:7" s="2" customFormat="1" x14ac:dyDescent="0.2">
      <c r="A513" s="26"/>
      <c r="E513" s="9"/>
      <c r="F513" s="9"/>
      <c r="G513" s="54"/>
    </row>
    <row r="514" spans="1:7" s="2" customFormat="1" x14ac:dyDescent="0.2">
      <c r="A514" s="26"/>
      <c r="E514" s="9"/>
      <c r="F514" s="9"/>
      <c r="G514" s="54"/>
    </row>
    <row r="515" spans="1:7" s="2" customFormat="1" x14ac:dyDescent="0.2">
      <c r="A515" s="26"/>
      <c r="E515" s="9"/>
      <c r="F515" s="9"/>
      <c r="G515" s="54"/>
    </row>
    <row r="516" spans="1:7" s="2" customFormat="1" x14ac:dyDescent="0.2">
      <c r="A516" s="26"/>
      <c r="E516" s="9"/>
      <c r="F516" s="9"/>
      <c r="G516" s="54"/>
    </row>
    <row r="517" spans="1:7" s="2" customFormat="1" x14ac:dyDescent="0.2">
      <c r="A517" s="26"/>
      <c r="E517" s="9"/>
      <c r="F517" s="9"/>
      <c r="G517" s="54"/>
    </row>
    <row r="518" spans="1:7" s="2" customFormat="1" x14ac:dyDescent="0.2">
      <c r="A518" s="26"/>
      <c r="E518" s="9"/>
      <c r="F518" s="9"/>
      <c r="G518" s="54"/>
    </row>
    <row r="519" spans="1:7" s="2" customFormat="1" x14ac:dyDescent="0.2">
      <c r="A519" s="26"/>
      <c r="E519" s="9"/>
      <c r="F519" s="9"/>
      <c r="G519" s="54"/>
    </row>
    <row r="520" spans="1:7" s="2" customFormat="1" x14ac:dyDescent="0.2">
      <c r="A520" s="26"/>
      <c r="E520" s="9"/>
      <c r="F520" s="9"/>
      <c r="G520" s="54"/>
    </row>
    <row r="521" spans="1:7" s="2" customFormat="1" x14ac:dyDescent="0.2">
      <c r="A521" s="26"/>
      <c r="E521" s="9"/>
      <c r="F521" s="9"/>
      <c r="G521" s="54"/>
    </row>
    <row r="522" spans="1:7" s="2" customFormat="1" x14ac:dyDescent="0.2">
      <c r="A522" s="26"/>
      <c r="E522" s="9"/>
      <c r="F522" s="9"/>
      <c r="G522" s="54"/>
    </row>
    <row r="523" spans="1:7" s="2" customFormat="1" x14ac:dyDescent="0.2">
      <c r="A523" s="26"/>
      <c r="E523" s="9"/>
      <c r="F523" s="9"/>
      <c r="G523" s="54"/>
    </row>
    <row r="524" spans="1:7" s="2" customFormat="1" x14ac:dyDescent="0.2">
      <c r="A524" s="26"/>
      <c r="E524" s="9"/>
      <c r="F524" s="9"/>
      <c r="G524" s="54"/>
    </row>
    <row r="525" spans="1:7" s="2" customFormat="1" x14ac:dyDescent="0.2">
      <c r="A525" s="26"/>
      <c r="E525" s="9"/>
      <c r="F525" s="9"/>
      <c r="G525" s="54"/>
    </row>
    <row r="526" spans="1:7" s="2" customFormat="1" x14ac:dyDescent="0.2">
      <c r="A526" s="26"/>
      <c r="E526" s="9"/>
      <c r="F526" s="9"/>
      <c r="G526" s="54"/>
    </row>
    <row r="527" spans="1:7" s="2" customFormat="1" x14ac:dyDescent="0.2">
      <c r="A527" s="26"/>
      <c r="E527" s="9"/>
      <c r="F527" s="9"/>
      <c r="G527" s="54"/>
    </row>
    <row r="528" spans="1:7" s="2" customFormat="1" x14ac:dyDescent="0.2">
      <c r="A528" s="26"/>
      <c r="E528" s="9"/>
      <c r="F528" s="9"/>
      <c r="G528" s="54"/>
    </row>
    <row r="529" spans="1:7" s="2" customFormat="1" x14ac:dyDescent="0.2">
      <c r="A529" s="26"/>
      <c r="E529" s="9"/>
      <c r="F529" s="9"/>
      <c r="G529" s="54"/>
    </row>
    <row r="530" spans="1:7" s="2" customFormat="1" x14ac:dyDescent="0.2">
      <c r="A530" s="26"/>
      <c r="E530" s="9"/>
      <c r="F530" s="9"/>
      <c r="G530" s="54"/>
    </row>
    <row r="531" spans="1:7" s="2" customFormat="1" x14ac:dyDescent="0.2">
      <c r="A531" s="26"/>
      <c r="E531" s="9"/>
      <c r="F531" s="9"/>
      <c r="G531" s="54"/>
    </row>
    <row r="532" spans="1:7" s="2" customFormat="1" x14ac:dyDescent="0.2">
      <c r="A532" s="26"/>
      <c r="E532" s="9"/>
      <c r="F532" s="9"/>
      <c r="G532" s="54"/>
    </row>
    <row r="533" spans="1:7" s="2" customFormat="1" x14ac:dyDescent="0.2">
      <c r="A533" s="26"/>
      <c r="E533" s="9"/>
      <c r="F533" s="9"/>
      <c r="G533" s="54"/>
    </row>
    <row r="534" spans="1:7" s="2" customFormat="1" x14ac:dyDescent="0.2">
      <c r="A534" s="26"/>
      <c r="E534" s="9"/>
      <c r="F534" s="9"/>
      <c r="G534" s="54"/>
    </row>
    <row r="535" spans="1:7" s="2" customFormat="1" x14ac:dyDescent="0.2">
      <c r="A535" s="26"/>
      <c r="E535" s="9"/>
      <c r="F535" s="9"/>
      <c r="G535" s="54"/>
    </row>
    <row r="536" spans="1:7" s="2" customFormat="1" x14ac:dyDescent="0.2">
      <c r="A536" s="26"/>
      <c r="E536" s="9"/>
      <c r="F536" s="9"/>
      <c r="G536" s="54"/>
    </row>
    <row r="537" spans="1:7" s="2" customFormat="1" x14ac:dyDescent="0.2">
      <c r="A537" s="26"/>
      <c r="E537" s="9"/>
      <c r="F537" s="9"/>
      <c r="G537" s="54"/>
    </row>
    <row r="538" spans="1:7" s="2" customFormat="1" x14ac:dyDescent="0.2">
      <c r="A538" s="26"/>
      <c r="E538" s="9"/>
      <c r="F538" s="9"/>
      <c r="G538" s="54"/>
    </row>
    <row r="539" spans="1:7" s="2" customFormat="1" x14ac:dyDescent="0.2">
      <c r="A539" s="26"/>
      <c r="E539" s="9"/>
      <c r="F539" s="9"/>
      <c r="G539" s="54"/>
    </row>
    <row r="540" spans="1:7" s="2" customFormat="1" x14ac:dyDescent="0.2">
      <c r="A540" s="26"/>
      <c r="E540" s="9"/>
      <c r="F540" s="9"/>
      <c r="G540" s="54"/>
    </row>
    <row r="541" spans="1:7" s="2" customFormat="1" x14ac:dyDescent="0.2">
      <c r="A541" s="26"/>
      <c r="E541" s="9"/>
      <c r="F541" s="9"/>
      <c r="G541" s="54"/>
    </row>
    <row r="542" spans="1:7" s="2" customFormat="1" x14ac:dyDescent="0.2">
      <c r="A542" s="26"/>
      <c r="E542" s="9"/>
      <c r="F542" s="9"/>
      <c r="G542" s="54"/>
    </row>
    <row r="543" spans="1:7" s="2" customFormat="1" x14ac:dyDescent="0.2">
      <c r="A543" s="26"/>
      <c r="E543" s="9"/>
      <c r="F543" s="9"/>
      <c r="G543" s="54"/>
    </row>
    <row r="544" spans="1:7" s="2" customFormat="1" x14ac:dyDescent="0.2">
      <c r="A544" s="26"/>
      <c r="E544" s="9"/>
      <c r="F544" s="9"/>
      <c r="G544" s="54"/>
    </row>
    <row r="545" spans="1:7" s="2" customFormat="1" x14ac:dyDescent="0.2">
      <c r="A545" s="26"/>
      <c r="E545" s="9"/>
      <c r="F545" s="9"/>
      <c r="G545" s="54"/>
    </row>
    <row r="546" spans="1:7" s="2" customFormat="1" x14ac:dyDescent="0.2">
      <c r="A546" s="26"/>
      <c r="E546" s="9"/>
      <c r="F546" s="9"/>
      <c r="G546" s="54"/>
    </row>
    <row r="547" spans="1:7" s="2" customFormat="1" x14ac:dyDescent="0.2">
      <c r="A547" s="26"/>
      <c r="E547" s="9"/>
      <c r="F547" s="9"/>
      <c r="G547" s="54"/>
    </row>
    <row r="548" spans="1:7" s="2" customFormat="1" x14ac:dyDescent="0.2">
      <c r="A548" s="26"/>
      <c r="E548" s="9"/>
      <c r="F548" s="9"/>
      <c r="G548" s="54"/>
    </row>
    <row r="549" spans="1:7" s="2" customFormat="1" x14ac:dyDescent="0.2">
      <c r="A549" s="26"/>
      <c r="E549" s="9"/>
      <c r="F549" s="9"/>
      <c r="G549" s="54"/>
    </row>
    <row r="550" spans="1:7" s="2" customFormat="1" x14ac:dyDescent="0.2">
      <c r="A550" s="26"/>
      <c r="E550" s="9"/>
      <c r="F550" s="9"/>
      <c r="G550" s="54"/>
    </row>
    <row r="551" spans="1:7" s="2" customFormat="1" x14ac:dyDescent="0.2">
      <c r="A551" s="26"/>
      <c r="E551" s="9"/>
      <c r="F551" s="9"/>
      <c r="G551" s="54"/>
    </row>
    <row r="552" spans="1:7" s="2" customFormat="1" x14ac:dyDescent="0.2">
      <c r="A552" s="26"/>
      <c r="E552" s="9"/>
      <c r="F552" s="9"/>
      <c r="G552" s="54"/>
    </row>
    <row r="553" spans="1:7" s="2" customFormat="1" x14ac:dyDescent="0.2">
      <c r="A553" s="26"/>
      <c r="E553" s="9"/>
      <c r="F553" s="9"/>
      <c r="G553" s="54"/>
    </row>
    <row r="554" spans="1:7" s="2" customFormat="1" x14ac:dyDescent="0.2">
      <c r="A554" s="26"/>
      <c r="E554" s="9"/>
      <c r="F554" s="9"/>
      <c r="G554" s="54"/>
    </row>
    <row r="555" spans="1:7" s="2" customFormat="1" x14ac:dyDescent="0.2">
      <c r="A555" s="26"/>
      <c r="E555" s="9"/>
      <c r="F555" s="9"/>
      <c r="G555" s="54"/>
    </row>
    <row r="556" spans="1:7" s="2" customFormat="1" x14ac:dyDescent="0.2">
      <c r="A556" s="26"/>
      <c r="E556" s="9"/>
      <c r="F556" s="9"/>
      <c r="G556" s="54"/>
    </row>
    <row r="557" spans="1:7" s="2" customFormat="1" x14ac:dyDescent="0.2">
      <c r="A557" s="26"/>
      <c r="E557" s="9"/>
      <c r="F557" s="9"/>
      <c r="G557" s="54"/>
    </row>
    <row r="558" spans="1:7" s="2" customFormat="1" x14ac:dyDescent="0.2">
      <c r="A558" s="26"/>
      <c r="E558" s="9"/>
      <c r="F558" s="9"/>
      <c r="G558" s="54"/>
    </row>
    <row r="559" spans="1:7" s="2" customFormat="1" x14ac:dyDescent="0.2">
      <c r="A559" s="26"/>
      <c r="E559" s="9"/>
      <c r="F559" s="9"/>
      <c r="G559" s="54"/>
    </row>
    <row r="560" spans="1:7" s="2" customFormat="1" x14ac:dyDescent="0.2">
      <c r="A560" s="26"/>
      <c r="E560" s="9"/>
      <c r="F560" s="9"/>
      <c r="G560" s="54"/>
    </row>
    <row r="561" spans="1:7" s="2" customFormat="1" x14ac:dyDescent="0.2">
      <c r="A561" s="26"/>
      <c r="E561" s="9"/>
      <c r="F561" s="9"/>
      <c r="G561" s="54"/>
    </row>
    <row r="562" spans="1:7" s="2" customFormat="1" x14ac:dyDescent="0.2">
      <c r="A562" s="26"/>
      <c r="E562" s="9"/>
      <c r="F562" s="9"/>
      <c r="G562" s="54"/>
    </row>
    <row r="563" spans="1:7" s="2" customFormat="1" x14ac:dyDescent="0.2">
      <c r="A563" s="26"/>
      <c r="E563" s="9"/>
      <c r="F563" s="9"/>
      <c r="G563" s="54"/>
    </row>
    <row r="564" spans="1:7" s="2" customFormat="1" x14ac:dyDescent="0.2">
      <c r="A564" s="26"/>
      <c r="E564" s="9"/>
      <c r="F564" s="9"/>
      <c r="G564" s="54"/>
    </row>
    <row r="565" spans="1:7" s="2" customFormat="1" x14ac:dyDescent="0.2">
      <c r="A565" s="26"/>
      <c r="E565" s="9"/>
      <c r="F565" s="9"/>
      <c r="G565" s="54"/>
    </row>
    <row r="566" spans="1:7" s="2" customFormat="1" x14ac:dyDescent="0.2">
      <c r="A566" s="26"/>
      <c r="E566" s="9"/>
      <c r="F566" s="9"/>
      <c r="G566" s="54"/>
    </row>
    <row r="567" spans="1:7" s="2" customFormat="1" x14ac:dyDescent="0.2">
      <c r="A567" s="26"/>
      <c r="E567" s="9"/>
      <c r="F567" s="9"/>
      <c r="G567" s="54"/>
    </row>
    <row r="568" spans="1:7" s="2" customFormat="1" x14ac:dyDescent="0.2">
      <c r="A568" s="26"/>
      <c r="E568" s="9"/>
      <c r="F568" s="9"/>
      <c r="G568" s="54"/>
    </row>
    <row r="569" spans="1:7" s="2" customFormat="1" x14ac:dyDescent="0.2">
      <c r="A569" s="26"/>
      <c r="E569" s="9"/>
      <c r="F569" s="9"/>
      <c r="G569" s="54"/>
    </row>
    <row r="570" spans="1:7" s="2" customFormat="1" x14ac:dyDescent="0.2">
      <c r="A570" s="26"/>
      <c r="E570" s="9"/>
      <c r="F570" s="9"/>
      <c r="G570" s="54"/>
    </row>
    <row r="571" spans="1:7" s="2" customFormat="1" x14ac:dyDescent="0.2">
      <c r="A571" s="26"/>
      <c r="E571" s="9"/>
      <c r="F571" s="9"/>
      <c r="G571" s="54"/>
    </row>
    <row r="572" spans="1:7" s="2" customFormat="1" x14ac:dyDescent="0.2">
      <c r="A572" s="26"/>
      <c r="E572" s="9"/>
      <c r="F572" s="9"/>
      <c r="G572" s="54"/>
    </row>
    <row r="573" spans="1:7" s="2" customFormat="1" x14ac:dyDescent="0.2">
      <c r="A573" s="26"/>
      <c r="E573" s="9"/>
      <c r="F573" s="9"/>
      <c r="G573" s="54"/>
    </row>
    <row r="574" spans="1:7" s="2" customFormat="1" x14ac:dyDescent="0.2">
      <c r="A574" s="26"/>
      <c r="E574" s="9"/>
      <c r="F574" s="9"/>
      <c r="G574" s="54"/>
    </row>
    <row r="575" spans="1:7" s="2" customFormat="1" x14ac:dyDescent="0.2">
      <c r="A575" s="26"/>
      <c r="E575" s="9"/>
      <c r="F575" s="9"/>
      <c r="G575" s="54"/>
    </row>
    <row r="576" spans="1:7" s="2" customFormat="1" x14ac:dyDescent="0.2">
      <c r="A576" s="26"/>
      <c r="E576" s="9"/>
      <c r="F576" s="9"/>
      <c r="G576" s="54"/>
    </row>
    <row r="577" spans="1:7" s="2" customFormat="1" x14ac:dyDescent="0.2">
      <c r="A577" s="26"/>
      <c r="E577" s="9"/>
      <c r="F577" s="9"/>
      <c r="G577" s="54"/>
    </row>
    <row r="578" spans="1:7" s="2" customFormat="1" x14ac:dyDescent="0.2">
      <c r="A578" s="26"/>
      <c r="E578" s="9"/>
      <c r="F578" s="9"/>
      <c r="G578" s="54"/>
    </row>
    <row r="579" spans="1:7" s="2" customFormat="1" x14ac:dyDescent="0.2">
      <c r="A579" s="26"/>
      <c r="E579" s="9"/>
      <c r="F579" s="9"/>
      <c r="G579" s="54"/>
    </row>
    <row r="580" spans="1:7" s="2" customFormat="1" x14ac:dyDescent="0.2">
      <c r="A580" s="26"/>
      <c r="E580" s="9"/>
      <c r="F580" s="9"/>
      <c r="G580" s="54"/>
    </row>
    <row r="581" spans="1:7" s="2" customFormat="1" x14ac:dyDescent="0.2">
      <c r="A581" s="26"/>
      <c r="E581" s="9"/>
      <c r="F581" s="9"/>
      <c r="G581" s="54"/>
    </row>
    <row r="582" spans="1:7" s="2" customFormat="1" x14ac:dyDescent="0.2">
      <c r="A582" s="26"/>
      <c r="E582" s="9"/>
      <c r="F582" s="9"/>
      <c r="G582" s="54"/>
    </row>
    <row r="583" spans="1:7" s="2" customFormat="1" x14ac:dyDescent="0.2">
      <c r="A583" s="26"/>
      <c r="E583" s="9"/>
      <c r="F583" s="9"/>
      <c r="G583" s="54"/>
    </row>
    <row r="584" spans="1:7" s="2" customFormat="1" x14ac:dyDescent="0.2">
      <c r="A584" s="26"/>
      <c r="E584" s="9"/>
      <c r="F584" s="9"/>
      <c r="G584" s="54"/>
    </row>
    <row r="585" spans="1:7" s="2" customFormat="1" x14ac:dyDescent="0.2">
      <c r="A585" s="26"/>
      <c r="E585" s="9"/>
      <c r="F585" s="9"/>
      <c r="G585" s="54"/>
    </row>
    <row r="586" spans="1:7" s="2" customFormat="1" x14ac:dyDescent="0.2">
      <c r="A586" s="26"/>
      <c r="E586" s="9"/>
      <c r="F586" s="9"/>
      <c r="G586" s="54"/>
    </row>
    <row r="587" spans="1:7" s="2" customFormat="1" x14ac:dyDescent="0.2">
      <c r="A587" s="26"/>
      <c r="E587" s="9"/>
      <c r="F587" s="9"/>
      <c r="G587" s="54"/>
    </row>
    <row r="588" spans="1:7" s="2" customFormat="1" x14ac:dyDescent="0.2">
      <c r="A588" s="26"/>
      <c r="E588" s="9"/>
      <c r="F588" s="9"/>
      <c r="G588" s="54"/>
    </row>
    <row r="589" spans="1:7" s="2" customFormat="1" x14ac:dyDescent="0.2">
      <c r="A589" s="26"/>
      <c r="E589" s="9"/>
      <c r="F589" s="9"/>
      <c r="G589" s="54"/>
    </row>
    <row r="590" spans="1:7" s="2" customFormat="1" x14ac:dyDescent="0.2">
      <c r="A590" s="26"/>
      <c r="E590" s="9"/>
      <c r="F590" s="9"/>
      <c r="G590" s="54"/>
    </row>
    <row r="591" spans="1:7" s="2" customFormat="1" x14ac:dyDescent="0.2">
      <c r="A591" s="26"/>
      <c r="E591" s="9"/>
      <c r="F591" s="9"/>
      <c r="G591" s="54"/>
    </row>
    <row r="592" spans="1:7" s="2" customFormat="1" x14ac:dyDescent="0.2">
      <c r="A592" s="26"/>
      <c r="E592" s="9"/>
      <c r="F592" s="9"/>
      <c r="G592" s="54"/>
    </row>
    <row r="593" spans="1:7" s="2" customFormat="1" x14ac:dyDescent="0.2">
      <c r="A593" s="26"/>
      <c r="E593" s="9"/>
      <c r="F593" s="9"/>
      <c r="G593" s="54"/>
    </row>
    <row r="594" spans="1:7" s="2" customFormat="1" x14ac:dyDescent="0.2">
      <c r="A594" s="26"/>
      <c r="E594" s="9"/>
      <c r="F594" s="9"/>
      <c r="G594" s="54"/>
    </row>
    <row r="595" spans="1:7" s="2" customFormat="1" x14ac:dyDescent="0.2">
      <c r="A595" s="26"/>
      <c r="E595" s="9"/>
      <c r="F595" s="9"/>
      <c r="G595" s="54"/>
    </row>
    <row r="596" spans="1:7" s="2" customFormat="1" x14ac:dyDescent="0.2">
      <c r="A596" s="26"/>
      <c r="E596" s="9"/>
      <c r="F596" s="9"/>
      <c r="G596" s="54"/>
    </row>
    <row r="597" spans="1:7" s="2" customFormat="1" x14ac:dyDescent="0.2">
      <c r="A597" s="26"/>
      <c r="E597" s="9"/>
      <c r="F597" s="9"/>
      <c r="G597" s="54"/>
    </row>
    <row r="598" spans="1:7" s="2" customFormat="1" x14ac:dyDescent="0.2">
      <c r="A598" s="26"/>
      <c r="E598" s="9"/>
      <c r="F598" s="9"/>
      <c r="G598" s="54"/>
    </row>
    <row r="599" spans="1:7" s="2" customFormat="1" x14ac:dyDescent="0.2">
      <c r="A599" s="26"/>
      <c r="E599" s="9"/>
      <c r="F599" s="9"/>
      <c r="G599" s="54"/>
    </row>
    <row r="600" spans="1:7" s="2" customFormat="1" x14ac:dyDescent="0.2">
      <c r="A600" s="26"/>
      <c r="E600" s="9"/>
      <c r="F600" s="9"/>
      <c r="G600" s="54"/>
    </row>
    <row r="601" spans="1:7" s="2" customFormat="1" x14ac:dyDescent="0.2">
      <c r="A601" s="26"/>
      <c r="E601" s="9"/>
      <c r="F601" s="9"/>
      <c r="G601" s="54"/>
    </row>
    <row r="602" spans="1:7" s="2" customFormat="1" x14ac:dyDescent="0.2">
      <c r="A602" s="26"/>
      <c r="E602" s="9"/>
      <c r="F602" s="9"/>
      <c r="G602" s="54"/>
    </row>
    <row r="603" spans="1:7" s="2" customFormat="1" x14ac:dyDescent="0.2">
      <c r="A603" s="26"/>
      <c r="E603" s="9"/>
      <c r="F603" s="9"/>
      <c r="G603" s="54"/>
    </row>
    <row r="604" spans="1:7" s="2" customFormat="1" x14ac:dyDescent="0.2">
      <c r="A604" s="26"/>
      <c r="E604" s="9"/>
      <c r="F604" s="9"/>
      <c r="G604" s="54"/>
    </row>
    <row r="605" spans="1:7" s="2" customFormat="1" x14ac:dyDescent="0.2">
      <c r="A605" s="26"/>
      <c r="E605" s="9"/>
      <c r="F605" s="9"/>
      <c r="G605" s="54"/>
    </row>
    <row r="606" spans="1:7" s="2" customFormat="1" x14ac:dyDescent="0.2">
      <c r="A606" s="26"/>
      <c r="E606" s="9"/>
      <c r="F606" s="9"/>
      <c r="G606" s="54"/>
    </row>
    <row r="607" spans="1:7" s="2" customFormat="1" x14ac:dyDescent="0.2">
      <c r="A607" s="26"/>
      <c r="E607" s="9"/>
      <c r="F607" s="9"/>
      <c r="G607" s="54"/>
    </row>
    <row r="608" spans="1:7" s="2" customFormat="1" x14ac:dyDescent="0.2">
      <c r="A608" s="26"/>
      <c r="E608" s="9"/>
      <c r="F608" s="9"/>
      <c r="G608" s="54"/>
    </row>
    <row r="609" spans="1:7" s="2" customFormat="1" x14ac:dyDescent="0.2">
      <c r="A609" s="26"/>
      <c r="E609" s="9"/>
      <c r="F609" s="9"/>
      <c r="G609" s="54"/>
    </row>
    <row r="610" spans="1:7" s="2" customFormat="1" x14ac:dyDescent="0.2">
      <c r="A610" s="26"/>
      <c r="E610" s="9"/>
      <c r="F610" s="9"/>
      <c r="G610" s="54"/>
    </row>
    <row r="611" spans="1:7" s="2" customFormat="1" x14ac:dyDescent="0.2">
      <c r="A611" s="26"/>
      <c r="E611" s="9"/>
      <c r="F611" s="9"/>
      <c r="G611" s="54"/>
    </row>
    <row r="612" spans="1:7" s="2" customFormat="1" x14ac:dyDescent="0.2">
      <c r="A612" s="26"/>
      <c r="E612" s="9"/>
      <c r="F612" s="9"/>
      <c r="G612" s="54"/>
    </row>
    <row r="613" spans="1:7" s="2" customFormat="1" x14ac:dyDescent="0.2">
      <c r="A613" s="26"/>
      <c r="E613" s="9"/>
      <c r="F613" s="9"/>
      <c r="G613" s="54"/>
    </row>
    <row r="614" spans="1:7" s="2" customFormat="1" x14ac:dyDescent="0.2">
      <c r="A614" s="26"/>
      <c r="E614" s="9"/>
      <c r="F614" s="9"/>
      <c r="G614" s="54"/>
    </row>
    <row r="615" spans="1:7" s="2" customFormat="1" x14ac:dyDescent="0.2">
      <c r="A615" s="26"/>
      <c r="E615" s="9"/>
      <c r="F615" s="9"/>
      <c r="G615" s="54"/>
    </row>
    <row r="616" spans="1:7" s="2" customFormat="1" x14ac:dyDescent="0.2">
      <c r="A616" s="26"/>
      <c r="E616" s="9"/>
      <c r="F616" s="9"/>
      <c r="G616" s="54"/>
    </row>
    <row r="617" spans="1:7" s="2" customFormat="1" x14ac:dyDescent="0.2">
      <c r="A617" s="26"/>
      <c r="E617" s="9"/>
      <c r="F617" s="9"/>
      <c r="G617" s="54"/>
    </row>
    <row r="618" spans="1:7" s="2" customFormat="1" x14ac:dyDescent="0.2">
      <c r="A618" s="26"/>
      <c r="E618" s="9"/>
      <c r="F618" s="9"/>
      <c r="G618" s="54"/>
    </row>
    <row r="619" spans="1:7" s="2" customFormat="1" x14ac:dyDescent="0.2">
      <c r="A619" s="26"/>
      <c r="E619" s="9"/>
      <c r="F619" s="9"/>
      <c r="G619" s="54"/>
    </row>
    <row r="620" spans="1:7" s="2" customFormat="1" x14ac:dyDescent="0.2">
      <c r="A620" s="26"/>
      <c r="E620" s="9"/>
      <c r="F620" s="9"/>
      <c r="G620" s="54"/>
    </row>
    <row r="621" spans="1:7" s="2" customFormat="1" x14ac:dyDescent="0.2">
      <c r="A621" s="26"/>
      <c r="E621" s="9"/>
      <c r="F621" s="9"/>
      <c r="G621" s="54"/>
    </row>
    <row r="622" spans="1:7" s="2" customFormat="1" x14ac:dyDescent="0.2">
      <c r="A622" s="26"/>
      <c r="E622" s="9"/>
      <c r="F622" s="9"/>
      <c r="G622" s="54"/>
    </row>
    <row r="623" spans="1:7" s="2" customFormat="1" x14ac:dyDescent="0.2">
      <c r="A623" s="26"/>
      <c r="E623" s="9"/>
      <c r="F623" s="9"/>
      <c r="G623" s="54"/>
    </row>
    <row r="624" spans="1:7" s="2" customFormat="1" x14ac:dyDescent="0.2">
      <c r="A624" s="26"/>
      <c r="E624" s="9"/>
      <c r="F624" s="9"/>
      <c r="G624" s="54"/>
    </row>
    <row r="625" spans="1:7" s="2" customFormat="1" x14ac:dyDescent="0.2">
      <c r="A625" s="26"/>
      <c r="E625" s="9"/>
      <c r="F625" s="9"/>
      <c r="G625" s="54"/>
    </row>
    <row r="626" spans="1:7" s="2" customFormat="1" x14ac:dyDescent="0.2">
      <c r="A626" s="26"/>
      <c r="E626" s="9"/>
      <c r="F626" s="9"/>
      <c r="G626" s="54"/>
    </row>
    <row r="627" spans="1:7" s="2" customFormat="1" x14ac:dyDescent="0.2">
      <c r="A627" s="26"/>
      <c r="E627" s="9"/>
      <c r="F627" s="9"/>
      <c r="G627" s="54"/>
    </row>
    <row r="628" spans="1:7" s="2" customFormat="1" x14ac:dyDescent="0.2">
      <c r="A628" s="26"/>
      <c r="E628" s="9"/>
      <c r="F628" s="9"/>
      <c r="G628" s="54"/>
    </row>
    <row r="629" spans="1:7" s="2" customFormat="1" x14ac:dyDescent="0.2">
      <c r="A629" s="26"/>
      <c r="E629" s="9"/>
      <c r="F629" s="9"/>
      <c r="G629" s="54"/>
    </row>
    <row r="630" spans="1:7" s="2" customFormat="1" x14ac:dyDescent="0.2">
      <c r="A630" s="26"/>
      <c r="E630" s="9"/>
      <c r="F630" s="9"/>
      <c r="G630" s="54"/>
    </row>
    <row r="631" spans="1:7" s="2" customFormat="1" x14ac:dyDescent="0.2">
      <c r="A631" s="26"/>
      <c r="E631" s="9"/>
      <c r="F631" s="9"/>
      <c r="G631" s="54"/>
    </row>
    <row r="632" spans="1:7" s="2" customFormat="1" x14ac:dyDescent="0.2">
      <c r="A632" s="26"/>
      <c r="E632" s="9"/>
      <c r="F632" s="9"/>
      <c r="G632" s="54"/>
    </row>
    <row r="633" spans="1:7" s="2" customFormat="1" x14ac:dyDescent="0.2">
      <c r="A633" s="26"/>
      <c r="E633" s="9"/>
      <c r="F633" s="9"/>
      <c r="G633" s="54"/>
    </row>
    <row r="634" spans="1:7" s="2" customFormat="1" x14ac:dyDescent="0.2">
      <c r="A634" s="26"/>
      <c r="E634" s="9"/>
      <c r="F634" s="9"/>
      <c r="G634" s="54"/>
    </row>
    <row r="635" spans="1:7" s="2" customFormat="1" x14ac:dyDescent="0.2">
      <c r="A635" s="26"/>
      <c r="E635" s="9"/>
      <c r="F635" s="9"/>
      <c r="G635" s="54"/>
    </row>
    <row r="636" spans="1:7" s="2" customFormat="1" x14ac:dyDescent="0.2">
      <c r="A636" s="26"/>
      <c r="E636" s="9"/>
      <c r="F636" s="9"/>
      <c r="G636" s="54"/>
    </row>
    <row r="637" spans="1:7" s="2" customFormat="1" x14ac:dyDescent="0.2">
      <c r="A637" s="26"/>
      <c r="E637" s="9"/>
      <c r="F637" s="9"/>
      <c r="G637" s="54"/>
    </row>
    <row r="638" spans="1:7" s="2" customFormat="1" x14ac:dyDescent="0.2">
      <c r="A638" s="26"/>
      <c r="E638" s="9"/>
      <c r="F638" s="9"/>
      <c r="G638" s="54"/>
    </row>
    <row r="639" spans="1:7" s="2" customFormat="1" x14ac:dyDescent="0.2">
      <c r="A639" s="26"/>
      <c r="E639" s="9"/>
      <c r="F639" s="9"/>
      <c r="G639" s="54"/>
    </row>
    <row r="640" spans="1:7" s="2" customFormat="1" x14ac:dyDescent="0.2">
      <c r="A640" s="26"/>
      <c r="E640" s="9"/>
      <c r="F640" s="9"/>
      <c r="G640" s="54"/>
    </row>
    <row r="641" spans="1:7" s="2" customFormat="1" x14ac:dyDescent="0.2">
      <c r="A641" s="26"/>
      <c r="E641" s="9"/>
      <c r="F641" s="9"/>
      <c r="G641" s="54"/>
    </row>
    <row r="642" spans="1:7" s="2" customFormat="1" x14ac:dyDescent="0.2">
      <c r="A642" s="26"/>
      <c r="E642" s="9"/>
      <c r="F642" s="9"/>
      <c r="G642" s="54"/>
    </row>
    <row r="643" spans="1:7" s="2" customFormat="1" x14ac:dyDescent="0.2">
      <c r="A643" s="26"/>
      <c r="E643" s="9"/>
      <c r="F643" s="9"/>
      <c r="G643" s="54"/>
    </row>
    <row r="644" spans="1:7" s="2" customFormat="1" x14ac:dyDescent="0.2">
      <c r="A644" s="26"/>
      <c r="E644" s="9"/>
      <c r="F644" s="9"/>
      <c r="G644" s="54"/>
    </row>
    <row r="645" spans="1:7" s="2" customFormat="1" x14ac:dyDescent="0.2">
      <c r="A645" s="26"/>
      <c r="E645" s="9"/>
      <c r="F645" s="9"/>
      <c r="G645" s="54"/>
    </row>
    <row r="646" spans="1:7" s="2" customFormat="1" x14ac:dyDescent="0.2">
      <c r="A646" s="26"/>
      <c r="E646" s="9"/>
      <c r="F646" s="9"/>
      <c r="G646" s="54"/>
    </row>
    <row r="647" spans="1:7" s="2" customFormat="1" x14ac:dyDescent="0.2">
      <c r="A647" s="26"/>
      <c r="E647" s="9"/>
      <c r="F647" s="9"/>
      <c r="G647" s="54"/>
    </row>
    <row r="648" spans="1:7" s="2" customFormat="1" x14ac:dyDescent="0.2">
      <c r="A648" s="26"/>
      <c r="E648" s="9"/>
      <c r="F648" s="9"/>
      <c r="G648" s="54"/>
    </row>
    <row r="649" spans="1:7" s="2" customFormat="1" x14ac:dyDescent="0.2">
      <c r="A649" s="26"/>
      <c r="E649" s="9"/>
      <c r="F649" s="9"/>
      <c r="G649" s="54"/>
    </row>
    <row r="650" spans="1:7" s="2" customFormat="1" x14ac:dyDescent="0.2">
      <c r="A650" s="26"/>
      <c r="E650" s="9"/>
      <c r="F650" s="9"/>
      <c r="G650" s="54"/>
    </row>
    <row r="651" spans="1:7" s="2" customFormat="1" x14ac:dyDescent="0.2">
      <c r="A651" s="26"/>
      <c r="E651" s="9"/>
      <c r="F651" s="9"/>
      <c r="G651" s="54"/>
    </row>
    <row r="652" spans="1:7" s="2" customFormat="1" x14ac:dyDescent="0.2">
      <c r="A652" s="26"/>
      <c r="E652" s="9"/>
      <c r="F652" s="9"/>
      <c r="G652" s="54"/>
    </row>
    <row r="653" spans="1:7" s="2" customFormat="1" x14ac:dyDescent="0.2">
      <c r="A653" s="26"/>
      <c r="E653" s="9"/>
      <c r="F653" s="9"/>
      <c r="G653" s="54"/>
    </row>
    <row r="654" spans="1:7" s="2" customFormat="1" x14ac:dyDescent="0.2">
      <c r="A654" s="26"/>
      <c r="E654" s="9"/>
      <c r="F654" s="9"/>
      <c r="G654" s="54"/>
    </row>
    <row r="655" spans="1:7" s="2" customFormat="1" x14ac:dyDescent="0.2">
      <c r="A655" s="26"/>
      <c r="E655" s="9"/>
      <c r="F655" s="9"/>
      <c r="G655" s="54"/>
    </row>
    <row r="656" spans="1:7" s="2" customFormat="1" x14ac:dyDescent="0.2">
      <c r="A656" s="26"/>
      <c r="E656" s="9"/>
      <c r="F656" s="9"/>
      <c r="G656" s="54"/>
    </row>
    <row r="657" spans="1:7" s="2" customFormat="1" x14ac:dyDescent="0.2">
      <c r="A657" s="26"/>
      <c r="E657" s="9"/>
      <c r="F657" s="9"/>
      <c r="G657" s="54"/>
    </row>
    <row r="658" spans="1:7" s="2" customFormat="1" x14ac:dyDescent="0.2">
      <c r="A658" s="26"/>
      <c r="E658" s="9"/>
      <c r="F658" s="9"/>
      <c r="G658" s="54"/>
    </row>
    <row r="659" spans="1:7" s="2" customFormat="1" x14ac:dyDescent="0.2">
      <c r="A659" s="26"/>
      <c r="E659" s="9"/>
      <c r="F659" s="9"/>
      <c r="G659" s="54"/>
    </row>
    <row r="660" spans="1:7" s="2" customFormat="1" x14ac:dyDescent="0.2">
      <c r="A660" s="26"/>
      <c r="E660" s="9"/>
      <c r="F660" s="9"/>
      <c r="G660" s="54"/>
    </row>
    <row r="661" spans="1:7" s="2" customFormat="1" x14ac:dyDescent="0.2">
      <c r="A661" s="26"/>
      <c r="E661" s="9"/>
      <c r="F661" s="9"/>
      <c r="G661" s="54"/>
    </row>
    <row r="662" spans="1:7" s="2" customFormat="1" x14ac:dyDescent="0.2">
      <c r="A662" s="26"/>
      <c r="E662" s="9"/>
      <c r="F662" s="9"/>
      <c r="G662" s="54"/>
    </row>
  </sheetData>
  <mergeCells count="1">
    <mergeCell ref="A1:D1"/>
  </mergeCells>
  <phoneticPr fontId="0" type="noConversion"/>
  <hyperlinks>
    <hyperlink ref="C7" r:id="rId1" xr:uid="{00000000-0004-0000-0100-000000000000}"/>
  </hyperlinks>
  <printOptions horizontalCentered="1"/>
  <pageMargins left="0.75" right="0.75" top="1" bottom="1" header="0.5" footer="0.5"/>
  <pageSetup scale="65" fitToHeight="999" orientation="landscape" r:id="rId2"/>
  <headerFooter alignWithMargins="0">
    <oddHeader>&amp;A</oddHeader>
    <oddFooter>Page &amp;P of 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5" name="Drop Down 18">
              <controlPr defaultSize="0" autoFill="0" autoLine="0" autoPict="0">
                <anchor moveWithCells="1">
                  <from>
                    <xdr:col>0</xdr:col>
                    <xdr:colOff>2276475</xdr:colOff>
                    <xdr:row>2</xdr:row>
                    <xdr:rowOff>0</xdr:rowOff>
                  </from>
                  <to>
                    <xdr:col>1</xdr:col>
                    <xdr:colOff>33537525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Drop Down 19">
              <controlPr defaultSize="0" autoFill="0" autoLine="0" autoPict="0">
                <anchor moveWithCells="1">
                  <from>
                    <xdr:col>12</xdr:col>
                    <xdr:colOff>371475</xdr:colOff>
                    <xdr:row>8</xdr:row>
                    <xdr:rowOff>38100</xdr:rowOff>
                  </from>
                  <to>
                    <xdr:col>88</xdr:col>
                    <xdr:colOff>266700</xdr:colOff>
                    <xdr:row>183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7" name="Button 21">
              <controlPr defaultSize="0" print="0" autoFill="0" autoLine="0" autoPict="0" macro="[0]!DoSort">
                <anchor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6</xdr:row>
                    <xdr:rowOff>19507200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8" name="Button 22">
              <controlPr defaultSize="0" print="0" autoFill="0" autoLine="0" autoPict="0" macro="[0]!DoAutoFilter">
                <anchor>
                  <from>
                    <xdr:col>0</xdr:col>
                    <xdr:colOff>-18364200</xdr:colOff>
                    <xdr:row>0</xdr:row>
                    <xdr:rowOff>5943600</xdr:rowOff>
                  </from>
                  <to>
                    <xdr:col>1</xdr:col>
                    <xdr:colOff>-37499925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9" name="Button 24">
              <controlPr defaultSize="0" print="0" autoFill="0" autoLine="0" autoPict="0" macro="[0]!SecurityDistribution">
                <anchor>
                  <from>
                    <xdr:col>13</xdr:col>
                    <xdr:colOff>304800</xdr:colOff>
                    <xdr:row>2</xdr:row>
                    <xdr:rowOff>-9753600</xdr:rowOff>
                  </from>
                  <to>
                    <xdr:col>15</xdr:col>
                    <xdr:colOff>304800</xdr:colOff>
                    <xdr:row>5</xdr:row>
                    <xdr:rowOff>-9753600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Line="0" autoPict="0" macro="[0]!ConnectionSetup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1" name="Button 26">
              <controlPr defaultSize="0" print="0" autoFill="0" autoLine="0" autoPict="0" macro="[0]!SolveForAmount.SolveForAmount">
                <anchor>
                  <from>
                    <xdr:col>0</xdr:col>
                    <xdr:colOff>-6791325</xdr:colOff>
                    <xdr:row>2</xdr:row>
                    <xdr:rowOff>0</xdr:rowOff>
                  </from>
                  <to>
                    <xdr:col>0</xdr:col>
                    <xdr:colOff>2276475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2" name="Button 40">
              <controlPr defaultSize="0" print="0" autoFill="0" autoPict="0" macro="[0]!_xludf.Clear">
                <anchor>
                  <from>
                    <xdr:col>12</xdr:col>
                    <xdr:colOff>485775</xdr:colOff>
                    <xdr:row>3</xdr:row>
                    <xdr:rowOff>114300</xdr:rowOff>
                  </from>
                  <to>
                    <xdr:col>15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3" name="Button 44">
              <controlPr defaultSize="0" print="0" autoFill="0" autoPict="0" macro="[0]!SecurityDistribution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9753600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14" name="Button 46">
              <controlPr defaultSize="0" print="0" autoFill="0" autoPict="0" macro="[0]!SecurityDistribution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7934325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rgb="FF92D050"/>
  </sheetPr>
  <dimension ref="A1:J1680"/>
  <sheetViews>
    <sheetView zoomScale="115" zoomScaleNormal="115" workbookViewId="0">
      <selection activeCell="D31" sqref="D31"/>
    </sheetView>
  </sheetViews>
  <sheetFormatPr defaultRowHeight="12.75" x14ac:dyDescent="0.2"/>
  <cols>
    <col min="1" max="1" width="10.85546875" bestFit="1" customWidth="1"/>
    <col min="2" max="2" width="49.85546875" bestFit="1" customWidth="1"/>
    <col min="3" max="3" width="20.85546875" bestFit="1" customWidth="1"/>
    <col min="4" max="4" width="12" bestFit="1" customWidth="1"/>
    <col min="5" max="5" width="16" bestFit="1" customWidth="1"/>
    <col min="6" max="6" width="22.85546875" bestFit="1" customWidth="1"/>
    <col min="7" max="7" width="19.85546875" customWidth="1"/>
    <col min="8" max="8" width="10.85546875" style="48" bestFit="1" customWidth="1"/>
    <col min="9" max="9" width="15" bestFit="1" customWidth="1"/>
    <col min="10" max="10" width="12" style="46" bestFit="1" customWidth="1"/>
    <col min="11" max="11" width="22" bestFit="1" customWidth="1"/>
    <col min="12" max="12" width="19" bestFit="1" customWidth="1"/>
    <col min="13" max="13" width="22" bestFit="1" customWidth="1"/>
    <col min="14" max="14" width="10" bestFit="1" customWidth="1"/>
    <col min="15" max="15" width="38" bestFit="1" customWidth="1"/>
    <col min="16" max="16" width="21" bestFit="1" customWidth="1"/>
    <col min="17" max="17" width="16" bestFit="1" customWidth="1"/>
    <col min="18" max="18" width="6.85546875" bestFit="1" customWidth="1"/>
    <col min="19" max="19" width="22.85546875" bestFit="1" customWidth="1"/>
    <col min="20" max="20" width="16.85546875" bestFit="1" customWidth="1"/>
    <col min="21" max="21" width="27" bestFit="1" customWidth="1"/>
    <col min="22" max="22" width="11.85546875" bestFit="1" customWidth="1"/>
    <col min="23" max="23" width="36" bestFit="1" customWidth="1"/>
  </cols>
  <sheetData>
    <row r="1" spans="1:10" s="40" customFormat="1" ht="21" customHeight="1" x14ac:dyDescent="0.2">
      <c r="A1" s="40" t="s">
        <v>26</v>
      </c>
      <c r="B1" s="40" t="s">
        <v>27</v>
      </c>
      <c r="C1" s="41" t="s">
        <v>28</v>
      </c>
      <c r="D1" s="40" t="s">
        <v>29</v>
      </c>
      <c r="E1" s="40" t="s">
        <v>30</v>
      </c>
      <c r="F1" s="49" t="s">
        <v>167</v>
      </c>
      <c r="G1" s="43" t="b">
        <v>0</v>
      </c>
      <c r="H1" s="59"/>
      <c r="J1" s="47"/>
    </row>
    <row r="3" spans="1:10" x14ac:dyDescent="0.2">
      <c r="A3" t="s">
        <v>32</v>
      </c>
      <c r="B3" t="s">
        <v>89</v>
      </c>
      <c r="C3" t="s">
        <v>168</v>
      </c>
      <c r="D3" t="s">
        <v>169</v>
      </c>
      <c r="E3" t="s">
        <v>170</v>
      </c>
      <c r="F3" t="s">
        <v>384</v>
      </c>
      <c r="G3" t="s">
        <v>171</v>
      </c>
      <c r="H3" t="s">
        <v>172</v>
      </c>
      <c r="J3"/>
    </row>
    <row r="4" spans="1:10" x14ac:dyDescent="0.2">
      <c r="A4" t="s">
        <v>478</v>
      </c>
      <c r="B4" t="s">
        <v>468</v>
      </c>
      <c r="C4" t="s">
        <v>174</v>
      </c>
      <c r="D4">
        <v>0</v>
      </c>
      <c r="E4" t="s">
        <v>917</v>
      </c>
      <c r="F4">
        <v>9893.15</v>
      </c>
      <c r="G4" t="s">
        <v>918</v>
      </c>
      <c r="H4">
        <v>0</v>
      </c>
      <c r="J4"/>
    </row>
    <row r="5" spans="1:10" x14ac:dyDescent="0.2">
      <c r="A5" t="s">
        <v>476</v>
      </c>
      <c r="B5" t="s">
        <v>469</v>
      </c>
      <c r="C5" t="s">
        <v>174</v>
      </c>
      <c r="D5">
        <v>0</v>
      </c>
      <c r="E5" t="s">
        <v>917</v>
      </c>
      <c r="F5">
        <v>19848.21</v>
      </c>
      <c r="G5" t="s">
        <v>918</v>
      </c>
      <c r="H5">
        <v>0</v>
      </c>
      <c r="J5"/>
    </row>
    <row r="6" spans="1:10" x14ac:dyDescent="0.2">
      <c r="A6" t="s">
        <v>474</v>
      </c>
      <c r="B6" t="s">
        <v>470</v>
      </c>
      <c r="C6" t="s">
        <v>174</v>
      </c>
      <c r="D6">
        <v>0</v>
      </c>
      <c r="E6" t="s">
        <v>917</v>
      </c>
      <c r="F6">
        <v>19909.25</v>
      </c>
      <c r="G6" t="s">
        <v>918</v>
      </c>
      <c r="H6">
        <v>0</v>
      </c>
      <c r="J6"/>
    </row>
    <row r="7" spans="1:10" x14ac:dyDescent="0.2">
      <c r="A7" t="s">
        <v>472</v>
      </c>
      <c r="B7" t="s">
        <v>471</v>
      </c>
      <c r="C7" t="s">
        <v>174</v>
      </c>
      <c r="D7">
        <v>0</v>
      </c>
      <c r="E7" t="s">
        <v>917</v>
      </c>
      <c r="F7">
        <v>19942.2</v>
      </c>
      <c r="G7" t="s">
        <v>918</v>
      </c>
      <c r="H7">
        <v>0</v>
      </c>
      <c r="J7"/>
    </row>
    <row r="8" spans="1:10" x14ac:dyDescent="0.2">
      <c r="A8" t="s">
        <v>301</v>
      </c>
      <c r="B8" t="s">
        <v>389</v>
      </c>
      <c r="C8" t="s">
        <v>174</v>
      </c>
      <c r="D8">
        <v>138322.5</v>
      </c>
      <c r="E8" t="s">
        <v>917</v>
      </c>
      <c r="F8">
        <v>101833871.76000001</v>
      </c>
      <c r="G8" t="s">
        <v>918</v>
      </c>
      <c r="H8">
        <v>1.358E-3</v>
      </c>
      <c r="J8"/>
    </row>
    <row r="9" spans="1:10" x14ac:dyDescent="0.2">
      <c r="A9" t="s">
        <v>297</v>
      </c>
      <c r="B9" t="s">
        <v>390</v>
      </c>
      <c r="C9" t="s">
        <v>174</v>
      </c>
      <c r="D9">
        <v>160395.26999999999</v>
      </c>
      <c r="E9" t="s">
        <v>917</v>
      </c>
      <c r="F9">
        <v>114203879.45</v>
      </c>
      <c r="G9" t="s">
        <v>918</v>
      </c>
      <c r="H9">
        <v>1.4040000000000001E-3</v>
      </c>
      <c r="J9"/>
    </row>
    <row r="10" spans="1:10" x14ac:dyDescent="0.2">
      <c r="A10" t="s">
        <v>300</v>
      </c>
      <c r="B10" t="s">
        <v>391</v>
      </c>
      <c r="C10" t="s">
        <v>174</v>
      </c>
      <c r="D10">
        <v>82168.350000000006</v>
      </c>
      <c r="E10" t="s">
        <v>917</v>
      </c>
      <c r="F10">
        <v>71314727.620000005</v>
      </c>
      <c r="G10" t="s">
        <v>918</v>
      </c>
      <c r="H10">
        <v>1.152E-3</v>
      </c>
      <c r="J10"/>
    </row>
    <row r="11" spans="1:10" x14ac:dyDescent="0.2">
      <c r="A11" t="s">
        <v>302</v>
      </c>
      <c r="B11" t="s">
        <v>392</v>
      </c>
      <c r="C11" t="s">
        <v>174</v>
      </c>
      <c r="D11">
        <v>-73372.17</v>
      </c>
      <c r="E11" t="s">
        <v>917</v>
      </c>
      <c r="F11">
        <v>87556777.280000001</v>
      </c>
      <c r="G11" t="s">
        <v>918</v>
      </c>
      <c r="H11">
        <v>-8.3699999999999996E-4</v>
      </c>
      <c r="J11"/>
    </row>
    <row r="12" spans="1:10" x14ac:dyDescent="0.2">
      <c r="A12" t="s">
        <v>298</v>
      </c>
      <c r="B12" t="s">
        <v>393</v>
      </c>
      <c r="C12" t="s">
        <v>174</v>
      </c>
      <c r="D12">
        <v>674912.37</v>
      </c>
      <c r="E12" t="s">
        <v>917</v>
      </c>
      <c r="F12">
        <v>286990349.94</v>
      </c>
      <c r="G12" t="s">
        <v>918</v>
      </c>
      <c r="H12">
        <v>2.3509999999999998E-3</v>
      </c>
      <c r="J12"/>
    </row>
    <row r="13" spans="1:10" x14ac:dyDescent="0.2">
      <c r="A13" t="s">
        <v>299</v>
      </c>
      <c r="B13" t="s">
        <v>394</v>
      </c>
      <c r="C13" t="s">
        <v>174</v>
      </c>
      <c r="D13">
        <v>214039.1</v>
      </c>
      <c r="E13" t="s">
        <v>917</v>
      </c>
      <c r="F13">
        <v>131545727.06999999</v>
      </c>
      <c r="G13" t="s">
        <v>918</v>
      </c>
      <c r="H13">
        <v>1.627E-3</v>
      </c>
      <c r="J13"/>
    </row>
    <row r="14" spans="1:10" x14ac:dyDescent="0.2">
      <c r="A14" t="s">
        <v>55</v>
      </c>
      <c r="B14" t="s">
        <v>178</v>
      </c>
      <c r="C14" t="s">
        <v>174</v>
      </c>
      <c r="D14">
        <v>-3403.53</v>
      </c>
      <c r="E14" t="s">
        <v>917</v>
      </c>
      <c r="F14">
        <v>41778107.090000004</v>
      </c>
      <c r="G14" t="s">
        <v>918</v>
      </c>
      <c r="H14">
        <v>-8.1000000000000004E-5</v>
      </c>
      <c r="J14"/>
    </row>
    <row r="15" spans="1:10" x14ac:dyDescent="0.2">
      <c r="A15" t="s">
        <v>56</v>
      </c>
      <c r="B15" t="s">
        <v>179</v>
      </c>
      <c r="C15" t="s">
        <v>174</v>
      </c>
      <c r="D15">
        <v>5352.47</v>
      </c>
      <c r="E15" t="s">
        <v>917</v>
      </c>
      <c r="F15">
        <v>22870692.800000001</v>
      </c>
      <c r="G15" t="s">
        <v>918</v>
      </c>
      <c r="H15">
        <v>2.34E-4</v>
      </c>
      <c r="J15"/>
    </row>
    <row r="16" spans="1:10" x14ac:dyDescent="0.2">
      <c r="A16" t="s">
        <v>54</v>
      </c>
      <c r="B16" t="s">
        <v>177</v>
      </c>
      <c r="C16" t="s">
        <v>174</v>
      </c>
      <c r="D16">
        <v>-10014.43</v>
      </c>
      <c r="E16" t="s">
        <v>917</v>
      </c>
      <c r="F16">
        <v>61928154.460000001</v>
      </c>
      <c r="G16" t="s">
        <v>918</v>
      </c>
      <c r="H16">
        <v>-1.6100000000000001E-4</v>
      </c>
      <c r="J16"/>
    </row>
    <row r="17" spans="1:10" x14ac:dyDescent="0.2">
      <c r="A17" t="s">
        <v>53</v>
      </c>
      <c r="B17" t="s">
        <v>176</v>
      </c>
      <c r="C17" t="s">
        <v>174</v>
      </c>
      <c r="D17">
        <v>-1545.24</v>
      </c>
      <c r="E17" t="s">
        <v>917</v>
      </c>
      <c r="F17">
        <v>29487289.16</v>
      </c>
      <c r="G17" t="s">
        <v>918</v>
      </c>
      <c r="H17">
        <v>-5.1999999999999997E-5</v>
      </c>
      <c r="J17"/>
    </row>
    <row r="18" spans="1:10" x14ac:dyDescent="0.2">
      <c r="A18" t="s">
        <v>46</v>
      </c>
      <c r="B18" t="s">
        <v>395</v>
      </c>
      <c r="C18" t="s">
        <v>174</v>
      </c>
      <c r="D18">
        <v>78093.05</v>
      </c>
      <c r="E18" t="s">
        <v>917</v>
      </c>
      <c r="F18">
        <v>100437234.47</v>
      </c>
      <c r="G18" t="s">
        <v>918</v>
      </c>
      <c r="H18">
        <v>7.7700000000000002E-4</v>
      </c>
      <c r="J18"/>
    </row>
    <row r="19" spans="1:10" x14ac:dyDescent="0.2">
      <c r="A19" t="s">
        <v>50</v>
      </c>
      <c r="B19" t="s">
        <v>175</v>
      </c>
      <c r="C19" t="s">
        <v>174</v>
      </c>
      <c r="D19">
        <v>-124831.22</v>
      </c>
      <c r="E19" t="s">
        <v>917</v>
      </c>
      <c r="F19">
        <v>18254286.960000001</v>
      </c>
      <c r="G19" t="s">
        <v>918</v>
      </c>
      <c r="H19">
        <v>-6.8380000000000003E-3</v>
      </c>
      <c r="J19"/>
    </row>
    <row r="20" spans="1:10" x14ac:dyDescent="0.2">
      <c r="A20" t="s">
        <v>45</v>
      </c>
      <c r="B20" t="s">
        <v>173</v>
      </c>
      <c r="C20" t="s">
        <v>174</v>
      </c>
      <c r="D20">
        <v>0</v>
      </c>
      <c r="E20" t="s">
        <v>917</v>
      </c>
      <c r="F20">
        <v>8892647.8900000006</v>
      </c>
      <c r="G20" t="s">
        <v>918</v>
      </c>
      <c r="H20">
        <v>0</v>
      </c>
      <c r="J20"/>
    </row>
    <row r="21" spans="1:10" x14ac:dyDescent="0.2">
      <c r="A21" t="s">
        <v>186</v>
      </c>
      <c r="B21" t="s">
        <v>396</v>
      </c>
      <c r="C21" t="s">
        <v>174</v>
      </c>
      <c r="D21">
        <v>7.23</v>
      </c>
      <c r="E21" t="s">
        <v>917</v>
      </c>
      <c r="F21">
        <v>6514944.3700000001</v>
      </c>
      <c r="G21" t="s">
        <v>918</v>
      </c>
      <c r="H21">
        <v>9.9999999999999995E-7</v>
      </c>
      <c r="J21"/>
    </row>
    <row r="22" spans="1:10" x14ac:dyDescent="0.2">
      <c r="A22" t="s">
        <v>185</v>
      </c>
      <c r="B22" t="s">
        <v>397</v>
      </c>
      <c r="C22" t="s">
        <v>174</v>
      </c>
      <c r="D22">
        <v>-17853.59</v>
      </c>
      <c r="E22" t="s">
        <v>917</v>
      </c>
      <c r="F22">
        <v>48260859.659999996</v>
      </c>
      <c r="G22" t="s">
        <v>918</v>
      </c>
      <c r="H22">
        <v>-3.6900000000000002E-4</v>
      </c>
      <c r="J22"/>
    </row>
    <row r="23" spans="1:10" x14ac:dyDescent="0.2">
      <c r="A23" t="s">
        <v>184</v>
      </c>
      <c r="B23" t="s">
        <v>398</v>
      </c>
      <c r="C23" t="s">
        <v>174</v>
      </c>
      <c r="D23">
        <v>-2902.04</v>
      </c>
      <c r="E23" t="s">
        <v>917</v>
      </c>
      <c r="F23">
        <v>4615737.84</v>
      </c>
      <c r="G23" t="s">
        <v>918</v>
      </c>
      <c r="H23">
        <v>-6.2799999999999998E-4</v>
      </c>
      <c r="J23"/>
    </row>
    <row r="24" spans="1:10" x14ac:dyDescent="0.2">
      <c r="A24" t="s">
        <v>366</v>
      </c>
      <c r="B24" t="s">
        <v>373</v>
      </c>
      <c r="C24" t="s">
        <v>174</v>
      </c>
      <c r="D24">
        <v>-92751.24</v>
      </c>
      <c r="E24" t="s">
        <v>917</v>
      </c>
      <c r="F24">
        <v>206997773.31</v>
      </c>
      <c r="G24" t="s">
        <v>918</v>
      </c>
      <c r="H24">
        <v>-4.4799999999999999E-4</v>
      </c>
      <c r="J24"/>
    </row>
    <row r="25" spans="1:10" x14ac:dyDescent="0.2">
      <c r="A25" t="s">
        <v>365</v>
      </c>
      <c r="B25" t="s">
        <v>372</v>
      </c>
      <c r="C25" t="s">
        <v>174</v>
      </c>
      <c r="D25">
        <v>-201847.52</v>
      </c>
      <c r="E25" t="s">
        <v>917</v>
      </c>
      <c r="F25">
        <v>317893657.57999998</v>
      </c>
      <c r="G25" t="s">
        <v>918</v>
      </c>
      <c r="H25">
        <v>-6.3400000000000001E-4</v>
      </c>
      <c r="J25"/>
    </row>
    <row r="26" spans="1:10" x14ac:dyDescent="0.2">
      <c r="A26" t="s">
        <v>402</v>
      </c>
      <c r="B26" t="s">
        <v>405</v>
      </c>
      <c r="C26" t="s">
        <v>174</v>
      </c>
      <c r="D26">
        <v>331477.43</v>
      </c>
      <c r="E26" t="s">
        <v>917</v>
      </c>
      <c r="F26">
        <v>61691348.009999998</v>
      </c>
      <c r="G26" t="s">
        <v>918</v>
      </c>
      <c r="H26">
        <v>5.3730000000000002E-3</v>
      </c>
      <c r="J26"/>
    </row>
    <row r="27" spans="1:10" x14ac:dyDescent="0.2">
      <c r="A27" t="s">
        <v>403</v>
      </c>
      <c r="B27" t="s">
        <v>406</v>
      </c>
      <c r="C27" t="s">
        <v>174</v>
      </c>
      <c r="D27">
        <v>5892162.5199999996</v>
      </c>
      <c r="E27" t="s">
        <v>917</v>
      </c>
      <c r="F27">
        <v>362764913.67000002</v>
      </c>
      <c r="G27" t="s">
        <v>918</v>
      </c>
      <c r="H27">
        <v>1.6241999999999999E-2</v>
      </c>
      <c r="J27"/>
    </row>
    <row r="28" spans="1:10" x14ac:dyDescent="0.2">
      <c r="A28" t="s">
        <v>404</v>
      </c>
      <c r="B28" t="s">
        <v>407</v>
      </c>
      <c r="C28" t="s">
        <v>174</v>
      </c>
      <c r="D28">
        <v>1920519.17</v>
      </c>
      <c r="E28" t="s">
        <v>917</v>
      </c>
      <c r="F28">
        <v>42962518.549999997</v>
      </c>
      <c r="G28" t="s">
        <v>918</v>
      </c>
      <c r="H28">
        <v>4.4701999999999999E-2</v>
      </c>
      <c r="J28"/>
    </row>
    <row r="29" spans="1:10" x14ac:dyDescent="0.2">
      <c r="A29" t="s">
        <v>368</v>
      </c>
      <c r="B29" t="s">
        <v>375</v>
      </c>
      <c r="C29" t="s">
        <v>174</v>
      </c>
      <c r="D29">
        <v>442198.15</v>
      </c>
      <c r="E29" t="s">
        <v>917</v>
      </c>
      <c r="F29">
        <v>233894276.34</v>
      </c>
      <c r="G29" t="s">
        <v>918</v>
      </c>
      <c r="H29">
        <v>1.89E-3</v>
      </c>
      <c r="J29"/>
    </row>
    <row r="30" spans="1:10" x14ac:dyDescent="0.2">
      <c r="A30" t="s">
        <v>367</v>
      </c>
      <c r="B30" t="s">
        <v>374</v>
      </c>
      <c r="C30" t="s">
        <v>174</v>
      </c>
      <c r="D30">
        <v>809587.73</v>
      </c>
      <c r="E30" t="s">
        <v>917</v>
      </c>
      <c r="F30">
        <v>307927856.11000001</v>
      </c>
      <c r="G30" t="s">
        <v>918</v>
      </c>
      <c r="H30">
        <v>2.6289999999999998E-3</v>
      </c>
      <c r="J30"/>
    </row>
    <row r="31" spans="1:10" x14ac:dyDescent="0.2">
      <c r="A31" t="s">
        <v>47</v>
      </c>
      <c r="B31" t="s">
        <v>399</v>
      </c>
      <c r="C31" t="s">
        <v>174</v>
      </c>
      <c r="D31">
        <v>-62855.95</v>
      </c>
      <c r="E31" t="s">
        <v>917</v>
      </c>
      <c r="F31">
        <v>110403711.05</v>
      </c>
      <c r="G31" t="s">
        <v>918</v>
      </c>
      <c r="H31">
        <v>-5.6899999999999995E-4</v>
      </c>
      <c r="J31"/>
    </row>
    <row r="32" spans="1:10" x14ac:dyDescent="0.2">
      <c r="A32" t="s">
        <v>48</v>
      </c>
      <c r="B32" t="s">
        <v>400</v>
      </c>
      <c r="C32" t="s">
        <v>174</v>
      </c>
      <c r="D32">
        <v>49420.13</v>
      </c>
      <c r="E32" t="s">
        <v>917</v>
      </c>
      <c r="F32">
        <v>112217546.73999999</v>
      </c>
      <c r="G32" t="s">
        <v>918</v>
      </c>
      <c r="H32">
        <v>4.4000000000000002E-4</v>
      </c>
      <c r="J32"/>
    </row>
    <row r="33" spans="1:10" x14ac:dyDescent="0.2">
      <c r="A33" t="s">
        <v>458</v>
      </c>
      <c r="B33" t="s">
        <v>453</v>
      </c>
      <c r="C33" t="s">
        <v>174</v>
      </c>
      <c r="D33">
        <v>0</v>
      </c>
      <c r="E33" t="s">
        <v>917</v>
      </c>
      <c r="F33">
        <v>126868.41</v>
      </c>
      <c r="G33" t="s">
        <v>918</v>
      </c>
      <c r="H33">
        <v>0</v>
      </c>
      <c r="J33"/>
    </row>
    <row r="34" spans="1:10" x14ac:dyDescent="0.2">
      <c r="A34" t="s">
        <v>456</v>
      </c>
      <c r="B34" t="s">
        <v>452</v>
      </c>
      <c r="C34" t="s">
        <v>174</v>
      </c>
      <c r="D34">
        <v>0</v>
      </c>
      <c r="E34" t="s">
        <v>917</v>
      </c>
      <c r="F34">
        <v>439552.26</v>
      </c>
      <c r="G34" t="s">
        <v>918</v>
      </c>
      <c r="H34">
        <v>0</v>
      </c>
      <c r="J34"/>
    </row>
    <row r="35" spans="1:10" x14ac:dyDescent="0.2">
      <c r="A35" t="s">
        <v>454</v>
      </c>
      <c r="B35" t="s">
        <v>451</v>
      </c>
      <c r="C35" t="s">
        <v>174</v>
      </c>
      <c r="D35">
        <v>0</v>
      </c>
      <c r="E35" t="s">
        <v>917</v>
      </c>
      <c r="F35">
        <v>10100.58</v>
      </c>
      <c r="G35" t="s">
        <v>918</v>
      </c>
      <c r="H35">
        <v>0</v>
      </c>
      <c r="J35"/>
    </row>
    <row r="36" spans="1:10" x14ac:dyDescent="0.2">
      <c r="A36" t="s">
        <v>49</v>
      </c>
      <c r="B36" t="s">
        <v>401</v>
      </c>
      <c r="C36" t="s">
        <v>174</v>
      </c>
      <c r="D36">
        <v>33646.42</v>
      </c>
      <c r="E36" t="s">
        <v>917</v>
      </c>
      <c r="F36">
        <v>74964132.590000004</v>
      </c>
      <c r="G36" t="s">
        <v>918</v>
      </c>
      <c r="H36">
        <v>4.4799999999999999E-4</v>
      </c>
      <c r="J36"/>
    </row>
    <row r="37" spans="1:10" x14ac:dyDescent="0.2">
      <c r="J37"/>
    </row>
    <row r="38" spans="1:10" x14ac:dyDescent="0.2">
      <c r="J38"/>
    </row>
    <row r="39" spans="1:10" x14ac:dyDescent="0.2">
      <c r="J39"/>
    </row>
    <row r="40" spans="1:10" x14ac:dyDescent="0.2">
      <c r="J40"/>
    </row>
    <row r="41" spans="1:10" x14ac:dyDescent="0.2">
      <c r="J41"/>
    </row>
    <row r="42" spans="1:10" x14ac:dyDescent="0.2">
      <c r="J42"/>
    </row>
    <row r="43" spans="1:10" x14ac:dyDescent="0.2">
      <c r="J43"/>
    </row>
    <row r="44" spans="1:10" x14ac:dyDescent="0.2">
      <c r="J44"/>
    </row>
    <row r="45" spans="1:10" x14ac:dyDescent="0.2">
      <c r="J45"/>
    </row>
    <row r="46" spans="1:10" x14ac:dyDescent="0.2">
      <c r="J46"/>
    </row>
    <row r="47" spans="1:10" x14ac:dyDescent="0.2">
      <c r="J47"/>
    </row>
    <row r="48" spans="1:10" x14ac:dyDescent="0.2">
      <c r="J48"/>
    </row>
    <row r="49" spans="10:10" x14ac:dyDescent="0.2">
      <c r="J49"/>
    </row>
    <row r="50" spans="10:10" x14ac:dyDescent="0.2">
      <c r="J50"/>
    </row>
    <row r="51" spans="10:10" x14ac:dyDescent="0.2">
      <c r="J51"/>
    </row>
    <row r="52" spans="10:10" x14ac:dyDescent="0.2">
      <c r="J52"/>
    </row>
    <row r="53" spans="10:10" x14ac:dyDescent="0.2">
      <c r="J53"/>
    </row>
    <row r="54" spans="10:10" x14ac:dyDescent="0.2">
      <c r="J54"/>
    </row>
    <row r="55" spans="10:10" x14ac:dyDescent="0.2">
      <c r="J55"/>
    </row>
    <row r="56" spans="10:10" x14ac:dyDescent="0.2">
      <c r="J56"/>
    </row>
    <row r="57" spans="10:10" x14ac:dyDescent="0.2">
      <c r="J57"/>
    </row>
    <row r="58" spans="10:10" x14ac:dyDescent="0.2">
      <c r="J58"/>
    </row>
    <row r="59" spans="10:10" x14ac:dyDescent="0.2">
      <c r="J59"/>
    </row>
    <row r="60" spans="10:10" x14ac:dyDescent="0.2">
      <c r="J60"/>
    </row>
    <row r="61" spans="10:10" x14ac:dyDescent="0.2">
      <c r="J61"/>
    </row>
    <row r="62" spans="10:10" x14ac:dyDescent="0.2">
      <c r="J62"/>
    </row>
    <row r="63" spans="10:10" x14ac:dyDescent="0.2">
      <c r="J63"/>
    </row>
    <row r="64" spans="10:10" x14ac:dyDescent="0.2">
      <c r="J64"/>
    </row>
    <row r="65" spans="10:10" x14ac:dyDescent="0.2">
      <c r="J65"/>
    </row>
    <row r="66" spans="10:10" x14ac:dyDescent="0.2">
      <c r="J66"/>
    </row>
    <row r="67" spans="10:10" x14ac:dyDescent="0.2">
      <c r="J67"/>
    </row>
    <row r="68" spans="10:10" x14ac:dyDescent="0.2">
      <c r="J68"/>
    </row>
    <row r="69" spans="10:10" x14ac:dyDescent="0.2">
      <c r="J69"/>
    </row>
    <row r="70" spans="10:10" x14ac:dyDescent="0.2">
      <c r="J70"/>
    </row>
    <row r="71" spans="10:10" x14ac:dyDescent="0.2">
      <c r="J71"/>
    </row>
    <row r="72" spans="10:10" x14ac:dyDescent="0.2">
      <c r="J72"/>
    </row>
    <row r="73" spans="10:10" x14ac:dyDescent="0.2">
      <c r="J73"/>
    </row>
    <row r="74" spans="10:10" x14ac:dyDescent="0.2">
      <c r="J74"/>
    </row>
    <row r="75" spans="10:10" x14ac:dyDescent="0.2">
      <c r="J75"/>
    </row>
    <row r="76" spans="10:10" x14ac:dyDescent="0.2">
      <c r="J76"/>
    </row>
    <row r="77" spans="10:10" x14ac:dyDescent="0.2">
      <c r="J77"/>
    </row>
    <row r="78" spans="10:10" x14ac:dyDescent="0.2">
      <c r="J78"/>
    </row>
    <row r="79" spans="10:10" x14ac:dyDescent="0.2">
      <c r="J79"/>
    </row>
    <row r="80" spans="10:10" x14ac:dyDescent="0.2">
      <c r="J80"/>
    </row>
    <row r="81" spans="10:10" x14ac:dyDescent="0.2">
      <c r="J81"/>
    </row>
    <row r="82" spans="10:10" x14ac:dyDescent="0.2">
      <c r="J82"/>
    </row>
    <row r="83" spans="10:10" x14ac:dyDescent="0.2">
      <c r="J83"/>
    </row>
    <row r="84" spans="10:10" x14ac:dyDescent="0.2">
      <c r="J84"/>
    </row>
    <row r="85" spans="10:10" x14ac:dyDescent="0.2">
      <c r="J85"/>
    </row>
    <row r="86" spans="10:10" x14ac:dyDescent="0.2">
      <c r="J86"/>
    </row>
    <row r="87" spans="10:10" x14ac:dyDescent="0.2">
      <c r="J87"/>
    </row>
    <row r="88" spans="10:10" x14ac:dyDescent="0.2">
      <c r="J88"/>
    </row>
    <row r="89" spans="10:10" x14ac:dyDescent="0.2">
      <c r="J89"/>
    </row>
    <row r="90" spans="10:10" x14ac:dyDescent="0.2">
      <c r="J90"/>
    </row>
    <row r="91" spans="10:10" x14ac:dyDescent="0.2">
      <c r="J91"/>
    </row>
    <row r="92" spans="10:10" x14ac:dyDescent="0.2">
      <c r="J92"/>
    </row>
    <row r="93" spans="10:10" x14ac:dyDescent="0.2">
      <c r="J93"/>
    </row>
    <row r="94" spans="10:10" x14ac:dyDescent="0.2">
      <c r="J94"/>
    </row>
    <row r="95" spans="10:10" x14ac:dyDescent="0.2">
      <c r="J95"/>
    </row>
    <row r="96" spans="10:10" x14ac:dyDescent="0.2">
      <c r="J96"/>
    </row>
    <row r="97" spans="10:10" x14ac:dyDescent="0.2">
      <c r="J97"/>
    </row>
    <row r="98" spans="10:10" x14ac:dyDescent="0.2">
      <c r="J98"/>
    </row>
    <row r="99" spans="10:10" x14ac:dyDescent="0.2">
      <c r="J99"/>
    </row>
    <row r="100" spans="10:10" x14ac:dyDescent="0.2">
      <c r="J100"/>
    </row>
    <row r="101" spans="10:10" x14ac:dyDescent="0.2">
      <c r="J101"/>
    </row>
    <row r="102" spans="10:10" x14ac:dyDescent="0.2">
      <c r="J102"/>
    </row>
    <row r="103" spans="10:10" x14ac:dyDescent="0.2">
      <c r="J103"/>
    </row>
    <row r="104" spans="10:10" x14ac:dyDescent="0.2">
      <c r="J104"/>
    </row>
    <row r="105" spans="10:10" x14ac:dyDescent="0.2">
      <c r="J105"/>
    </row>
    <row r="106" spans="10:10" x14ac:dyDescent="0.2">
      <c r="J106"/>
    </row>
    <row r="107" spans="10:10" x14ac:dyDescent="0.2">
      <c r="J107"/>
    </row>
    <row r="108" spans="10:10" x14ac:dyDescent="0.2">
      <c r="J108"/>
    </row>
    <row r="109" spans="10:10" x14ac:dyDescent="0.2">
      <c r="J109"/>
    </row>
    <row r="110" spans="10:10" x14ac:dyDescent="0.2">
      <c r="J110"/>
    </row>
    <row r="111" spans="10:10" x14ac:dyDescent="0.2">
      <c r="J111"/>
    </row>
    <row r="112" spans="10:10" x14ac:dyDescent="0.2">
      <c r="J112"/>
    </row>
    <row r="113" spans="10:10" x14ac:dyDescent="0.2">
      <c r="J113"/>
    </row>
    <row r="114" spans="10:10" x14ac:dyDescent="0.2">
      <c r="J114"/>
    </row>
    <row r="115" spans="10:10" x14ac:dyDescent="0.2">
      <c r="J115"/>
    </row>
    <row r="116" spans="10:10" x14ac:dyDescent="0.2">
      <c r="J116"/>
    </row>
    <row r="117" spans="10:10" x14ac:dyDescent="0.2">
      <c r="J117"/>
    </row>
    <row r="118" spans="10:10" x14ac:dyDescent="0.2">
      <c r="J118"/>
    </row>
    <row r="119" spans="10:10" x14ac:dyDescent="0.2">
      <c r="J119"/>
    </row>
    <row r="120" spans="10:10" x14ac:dyDescent="0.2">
      <c r="J120"/>
    </row>
    <row r="121" spans="10:10" x14ac:dyDescent="0.2">
      <c r="J121"/>
    </row>
    <row r="122" spans="10:10" x14ac:dyDescent="0.2">
      <c r="J122"/>
    </row>
    <row r="123" spans="10:10" x14ac:dyDescent="0.2">
      <c r="J123"/>
    </row>
    <row r="124" spans="10:10" x14ac:dyDescent="0.2">
      <c r="J124"/>
    </row>
    <row r="125" spans="10:10" x14ac:dyDescent="0.2">
      <c r="J125"/>
    </row>
    <row r="126" spans="10:10" x14ac:dyDescent="0.2">
      <c r="J126"/>
    </row>
    <row r="127" spans="10:10" x14ac:dyDescent="0.2">
      <c r="J127"/>
    </row>
    <row r="128" spans="10:10" x14ac:dyDescent="0.2">
      <c r="J128"/>
    </row>
    <row r="129" spans="10:10" x14ac:dyDescent="0.2">
      <c r="J129"/>
    </row>
    <row r="130" spans="10:10" x14ac:dyDescent="0.2">
      <c r="J130"/>
    </row>
    <row r="131" spans="10:10" x14ac:dyDescent="0.2">
      <c r="J131"/>
    </row>
    <row r="132" spans="10:10" x14ac:dyDescent="0.2">
      <c r="J132"/>
    </row>
    <row r="133" spans="10:10" x14ac:dyDescent="0.2">
      <c r="J133"/>
    </row>
    <row r="134" spans="10:10" x14ac:dyDescent="0.2">
      <c r="J134"/>
    </row>
    <row r="135" spans="10:10" x14ac:dyDescent="0.2">
      <c r="J135"/>
    </row>
    <row r="136" spans="10:10" x14ac:dyDescent="0.2">
      <c r="J136"/>
    </row>
    <row r="137" spans="10:10" x14ac:dyDescent="0.2">
      <c r="J137"/>
    </row>
    <row r="138" spans="10:10" x14ac:dyDescent="0.2">
      <c r="J138"/>
    </row>
    <row r="139" spans="10:10" x14ac:dyDescent="0.2">
      <c r="J139"/>
    </row>
    <row r="140" spans="10:10" x14ac:dyDescent="0.2">
      <c r="J140"/>
    </row>
    <row r="141" spans="10:10" x14ac:dyDescent="0.2">
      <c r="J141"/>
    </row>
    <row r="142" spans="10:10" x14ac:dyDescent="0.2">
      <c r="J142"/>
    </row>
    <row r="143" spans="10:10" x14ac:dyDescent="0.2">
      <c r="J143"/>
    </row>
    <row r="144" spans="10:10" x14ac:dyDescent="0.2">
      <c r="J144"/>
    </row>
    <row r="145" spans="10:10" x14ac:dyDescent="0.2">
      <c r="J145"/>
    </row>
    <row r="146" spans="10:10" x14ac:dyDescent="0.2">
      <c r="J146"/>
    </row>
    <row r="147" spans="10:10" x14ac:dyDescent="0.2">
      <c r="J147"/>
    </row>
    <row r="148" spans="10:10" x14ac:dyDescent="0.2">
      <c r="J148"/>
    </row>
    <row r="149" spans="10:10" x14ac:dyDescent="0.2">
      <c r="J149"/>
    </row>
    <row r="150" spans="10:10" x14ac:dyDescent="0.2">
      <c r="J150"/>
    </row>
    <row r="151" spans="10:10" x14ac:dyDescent="0.2">
      <c r="J151"/>
    </row>
    <row r="152" spans="10:10" x14ac:dyDescent="0.2">
      <c r="J152"/>
    </row>
    <row r="153" spans="10:10" x14ac:dyDescent="0.2">
      <c r="J153"/>
    </row>
    <row r="154" spans="10:10" x14ac:dyDescent="0.2">
      <c r="J154"/>
    </row>
    <row r="155" spans="10:10" x14ac:dyDescent="0.2">
      <c r="J155"/>
    </row>
    <row r="156" spans="10:10" x14ac:dyDescent="0.2">
      <c r="J156"/>
    </row>
    <row r="157" spans="10:10" x14ac:dyDescent="0.2">
      <c r="J157"/>
    </row>
    <row r="158" spans="10:10" x14ac:dyDescent="0.2">
      <c r="J158"/>
    </row>
    <row r="159" spans="10:10" x14ac:dyDescent="0.2">
      <c r="J159"/>
    </row>
    <row r="160" spans="10:10" x14ac:dyDescent="0.2">
      <c r="J160"/>
    </row>
    <row r="161" spans="10:10" x14ac:dyDescent="0.2">
      <c r="J161"/>
    </row>
    <row r="162" spans="10:10" x14ac:dyDescent="0.2">
      <c r="J162"/>
    </row>
    <row r="163" spans="10:10" x14ac:dyDescent="0.2">
      <c r="J163"/>
    </row>
    <row r="164" spans="10:10" x14ac:dyDescent="0.2">
      <c r="J164"/>
    </row>
    <row r="165" spans="10:10" x14ac:dyDescent="0.2">
      <c r="J165"/>
    </row>
    <row r="166" spans="10:10" x14ac:dyDescent="0.2">
      <c r="J166"/>
    </row>
    <row r="167" spans="10:10" x14ac:dyDescent="0.2">
      <c r="J167"/>
    </row>
    <row r="168" spans="10:10" x14ac:dyDescent="0.2">
      <c r="J168"/>
    </row>
    <row r="169" spans="10:10" x14ac:dyDescent="0.2">
      <c r="J169"/>
    </row>
    <row r="170" spans="10:10" x14ac:dyDescent="0.2">
      <c r="J170"/>
    </row>
    <row r="171" spans="10:10" x14ac:dyDescent="0.2">
      <c r="J171"/>
    </row>
    <row r="172" spans="10:10" x14ac:dyDescent="0.2">
      <c r="J172"/>
    </row>
    <row r="173" spans="10:10" x14ac:dyDescent="0.2">
      <c r="J173"/>
    </row>
    <row r="174" spans="10:10" x14ac:dyDescent="0.2">
      <c r="J174"/>
    </row>
    <row r="175" spans="10:10" x14ac:dyDescent="0.2">
      <c r="J175"/>
    </row>
    <row r="176" spans="10:10" x14ac:dyDescent="0.2">
      <c r="J176"/>
    </row>
    <row r="177" spans="10:10" x14ac:dyDescent="0.2">
      <c r="J177"/>
    </row>
    <row r="178" spans="10:10" x14ac:dyDescent="0.2">
      <c r="J178"/>
    </row>
    <row r="179" spans="10:10" x14ac:dyDescent="0.2">
      <c r="J179"/>
    </row>
    <row r="180" spans="10:10" x14ac:dyDescent="0.2">
      <c r="J180"/>
    </row>
    <row r="181" spans="10:10" x14ac:dyDescent="0.2">
      <c r="J181"/>
    </row>
    <row r="182" spans="10:10" x14ac:dyDescent="0.2">
      <c r="J182"/>
    </row>
    <row r="183" spans="10:10" x14ac:dyDescent="0.2">
      <c r="J183"/>
    </row>
    <row r="184" spans="10:10" x14ac:dyDescent="0.2">
      <c r="J184"/>
    </row>
    <row r="185" spans="10:10" x14ac:dyDescent="0.2">
      <c r="J185"/>
    </row>
    <row r="186" spans="10:10" x14ac:dyDescent="0.2">
      <c r="J186"/>
    </row>
    <row r="187" spans="10:10" x14ac:dyDescent="0.2">
      <c r="J187"/>
    </row>
    <row r="188" spans="10:10" x14ac:dyDescent="0.2">
      <c r="J188"/>
    </row>
    <row r="189" spans="10:10" x14ac:dyDescent="0.2">
      <c r="J189"/>
    </row>
    <row r="190" spans="10:10" x14ac:dyDescent="0.2">
      <c r="J190"/>
    </row>
    <row r="191" spans="10:10" x14ac:dyDescent="0.2">
      <c r="J191"/>
    </row>
    <row r="192" spans="10:10" x14ac:dyDescent="0.2">
      <c r="J192"/>
    </row>
    <row r="193" spans="10:10" x14ac:dyDescent="0.2">
      <c r="J193"/>
    </row>
    <row r="194" spans="10:10" x14ac:dyDescent="0.2">
      <c r="J194"/>
    </row>
    <row r="195" spans="10:10" x14ac:dyDescent="0.2">
      <c r="J195"/>
    </row>
    <row r="196" spans="10:10" x14ac:dyDescent="0.2">
      <c r="J196"/>
    </row>
    <row r="197" spans="10:10" x14ac:dyDescent="0.2">
      <c r="J197"/>
    </row>
    <row r="198" spans="10:10" x14ac:dyDescent="0.2">
      <c r="J198"/>
    </row>
    <row r="199" spans="10:10" x14ac:dyDescent="0.2">
      <c r="J199"/>
    </row>
    <row r="200" spans="10:10" x14ac:dyDescent="0.2">
      <c r="J200"/>
    </row>
    <row r="201" spans="10:10" x14ac:dyDescent="0.2">
      <c r="J201"/>
    </row>
    <row r="202" spans="10:10" x14ac:dyDescent="0.2">
      <c r="J202"/>
    </row>
    <row r="203" spans="10:10" x14ac:dyDescent="0.2">
      <c r="J203"/>
    </row>
    <row r="204" spans="10:10" x14ac:dyDescent="0.2">
      <c r="J204"/>
    </row>
    <row r="205" spans="10:10" x14ac:dyDescent="0.2">
      <c r="J205"/>
    </row>
    <row r="206" spans="10:10" x14ac:dyDescent="0.2">
      <c r="J206"/>
    </row>
    <row r="207" spans="10:10" x14ac:dyDescent="0.2">
      <c r="J207"/>
    </row>
    <row r="208" spans="10:10" x14ac:dyDescent="0.2">
      <c r="J208"/>
    </row>
    <row r="209" spans="10:10" x14ac:dyDescent="0.2">
      <c r="J209"/>
    </row>
    <row r="210" spans="10:10" x14ac:dyDescent="0.2">
      <c r="J210"/>
    </row>
    <row r="211" spans="10:10" x14ac:dyDescent="0.2">
      <c r="J211"/>
    </row>
    <row r="212" spans="10:10" x14ac:dyDescent="0.2">
      <c r="J212"/>
    </row>
    <row r="213" spans="10:10" x14ac:dyDescent="0.2">
      <c r="J213"/>
    </row>
    <row r="214" spans="10:10" x14ac:dyDescent="0.2">
      <c r="J214"/>
    </row>
    <row r="215" spans="10:10" x14ac:dyDescent="0.2">
      <c r="J215"/>
    </row>
    <row r="216" spans="10:10" x14ac:dyDescent="0.2">
      <c r="J216"/>
    </row>
    <row r="217" spans="10:10" x14ac:dyDescent="0.2">
      <c r="J217"/>
    </row>
    <row r="218" spans="10:10" x14ac:dyDescent="0.2">
      <c r="J218"/>
    </row>
    <row r="219" spans="10:10" x14ac:dyDescent="0.2">
      <c r="J219"/>
    </row>
    <row r="220" spans="10:10" x14ac:dyDescent="0.2">
      <c r="J220"/>
    </row>
    <row r="221" spans="10:10" x14ac:dyDescent="0.2">
      <c r="J221"/>
    </row>
    <row r="222" spans="10:10" x14ac:dyDescent="0.2">
      <c r="J222"/>
    </row>
    <row r="223" spans="10:10" x14ac:dyDescent="0.2">
      <c r="J223"/>
    </row>
    <row r="224" spans="10:10" x14ac:dyDescent="0.2">
      <c r="J224"/>
    </row>
    <row r="225" spans="10:10" x14ac:dyDescent="0.2">
      <c r="J225"/>
    </row>
    <row r="226" spans="10:10" x14ac:dyDescent="0.2">
      <c r="J226"/>
    </row>
    <row r="227" spans="10:10" x14ac:dyDescent="0.2">
      <c r="J227"/>
    </row>
    <row r="228" spans="10:10" x14ac:dyDescent="0.2">
      <c r="J228"/>
    </row>
    <row r="229" spans="10:10" x14ac:dyDescent="0.2">
      <c r="J229"/>
    </row>
    <row r="230" spans="10:10" x14ac:dyDescent="0.2">
      <c r="J230"/>
    </row>
    <row r="231" spans="10:10" x14ac:dyDescent="0.2">
      <c r="J231"/>
    </row>
    <row r="232" spans="10:10" x14ac:dyDescent="0.2">
      <c r="J232"/>
    </row>
    <row r="233" spans="10:10" x14ac:dyDescent="0.2">
      <c r="J233"/>
    </row>
    <row r="234" spans="10:10" x14ac:dyDescent="0.2">
      <c r="J234"/>
    </row>
    <row r="235" spans="10:10" x14ac:dyDescent="0.2">
      <c r="J235"/>
    </row>
    <row r="236" spans="10:10" x14ac:dyDescent="0.2">
      <c r="J236"/>
    </row>
    <row r="237" spans="10:10" x14ac:dyDescent="0.2">
      <c r="J237"/>
    </row>
    <row r="238" spans="10:10" x14ac:dyDescent="0.2">
      <c r="J238"/>
    </row>
    <row r="239" spans="10:10" x14ac:dyDescent="0.2">
      <c r="J239"/>
    </row>
    <row r="240" spans="10:10" x14ac:dyDescent="0.2">
      <c r="J240"/>
    </row>
    <row r="241" spans="10:10" x14ac:dyDescent="0.2">
      <c r="J241"/>
    </row>
    <row r="242" spans="10:10" x14ac:dyDescent="0.2">
      <c r="J242"/>
    </row>
    <row r="243" spans="10:10" x14ac:dyDescent="0.2">
      <c r="J243"/>
    </row>
    <row r="244" spans="10:10" x14ac:dyDescent="0.2">
      <c r="J244"/>
    </row>
    <row r="245" spans="10:10" x14ac:dyDescent="0.2">
      <c r="J245"/>
    </row>
    <row r="246" spans="10:10" x14ac:dyDescent="0.2">
      <c r="J246"/>
    </row>
    <row r="247" spans="10:10" x14ac:dyDescent="0.2">
      <c r="J247"/>
    </row>
    <row r="248" spans="10:10" x14ac:dyDescent="0.2">
      <c r="J248"/>
    </row>
    <row r="249" spans="10:10" x14ac:dyDescent="0.2">
      <c r="J249"/>
    </row>
    <row r="250" spans="10:10" x14ac:dyDescent="0.2">
      <c r="J250"/>
    </row>
    <row r="251" spans="10:10" x14ac:dyDescent="0.2">
      <c r="J251"/>
    </row>
    <row r="252" spans="10:10" x14ac:dyDescent="0.2">
      <c r="J252"/>
    </row>
    <row r="253" spans="10:10" x14ac:dyDescent="0.2">
      <c r="J253"/>
    </row>
    <row r="254" spans="10:10" x14ac:dyDescent="0.2">
      <c r="J254"/>
    </row>
    <row r="255" spans="10:10" x14ac:dyDescent="0.2">
      <c r="J255"/>
    </row>
    <row r="256" spans="10:10" x14ac:dyDescent="0.2">
      <c r="J256"/>
    </row>
    <row r="257" spans="10:10" x14ac:dyDescent="0.2">
      <c r="J257"/>
    </row>
    <row r="258" spans="10:10" x14ac:dyDescent="0.2">
      <c r="J258"/>
    </row>
    <row r="259" spans="10:10" x14ac:dyDescent="0.2">
      <c r="J259"/>
    </row>
    <row r="260" spans="10:10" x14ac:dyDescent="0.2">
      <c r="J260"/>
    </row>
    <row r="261" spans="10:10" x14ac:dyDescent="0.2">
      <c r="J261"/>
    </row>
    <row r="262" spans="10:10" x14ac:dyDescent="0.2">
      <c r="J262"/>
    </row>
    <row r="263" spans="10:10" x14ac:dyDescent="0.2">
      <c r="J263"/>
    </row>
    <row r="264" spans="10:10" x14ac:dyDescent="0.2">
      <c r="J264"/>
    </row>
    <row r="265" spans="10:10" x14ac:dyDescent="0.2">
      <c r="J265"/>
    </row>
    <row r="266" spans="10:10" x14ac:dyDescent="0.2">
      <c r="J266"/>
    </row>
    <row r="267" spans="10:10" x14ac:dyDescent="0.2">
      <c r="J267"/>
    </row>
    <row r="268" spans="10:10" x14ac:dyDescent="0.2">
      <c r="J268"/>
    </row>
    <row r="269" spans="10:10" x14ac:dyDescent="0.2">
      <c r="J269"/>
    </row>
    <row r="270" spans="10:10" x14ac:dyDescent="0.2">
      <c r="J270"/>
    </row>
    <row r="271" spans="10:10" x14ac:dyDescent="0.2">
      <c r="J271"/>
    </row>
    <row r="272" spans="10:10" x14ac:dyDescent="0.2">
      <c r="J272"/>
    </row>
    <row r="273" spans="10:10" x14ac:dyDescent="0.2">
      <c r="J273"/>
    </row>
    <row r="274" spans="10:10" x14ac:dyDescent="0.2">
      <c r="J274"/>
    </row>
    <row r="275" spans="10:10" x14ac:dyDescent="0.2">
      <c r="J275"/>
    </row>
    <row r="276" spans="10:10" x14ac:dyDescent="0.2">
      <c r="J276"/>
    </row>
    <row r="277" spans="10:10" x14ac:dyDescent="0.2">
      <c r="J277"/>
    </row>
    <row r="278" spans="10:10" x14ac:dyDescent="0.2">
      <c r="J278"/>
    </row>
    <row r="279" spans="10:10" x14ac:dyDescent="0.2">
      <c r="J279"/>
    </row>
    <row r="280" spans="10:10" x14ac:dyDescent="0.2">
      <c r="J280"/>
    </row>
    <row r="281" spans="10:10" x14ac:dyDescent="0.2">
      <c r="J281"/>
    </row>
    <row r="282" spans="10:10" x14ac:dyDescent="0.2">
      <c r="J282"/>
    </row>
    <row r="283" spans="10:10" x14ac:dyDescent="0.2">
      <c r="J283"/>
    </row>
    <row r="284" spans="10:10" x14ac:dyDescent="0.2">
      <c r="J284"/>
    </row>
    <row r="285" spans="10:10" x14ac:dyDescent="0.2">
      <c r="J285"/>
    </row>
    <row r="286" spans="10:10" x14ac:dyDescent="0.2">
      <c r="J286"/>
    </row>
    <row r="287" spans="10:10" x14ac:dyDescent="0.2">
      <c r="J287"/>
    </row>
    <row r="288" spans="10:10" x14ac:dyDescent="0.2">
      <c r="J288"/>
    </row>
    <row r="289" spans="10:10" x14ac:dyDescent="0.2">
      <c r="J289"/>
    </row>
    <row r="290" spans="10:10" x14ac:dyDescent="0.2">
      <c r="J290"/>
    </row>
    <row r="291" spans="10:10" x14ac:dyDescent="0.2">
      <c r="J291"/>
    </row>
    <row r="292" spans="10:10" x14ac:dyDescent="0.2">
      <c r="J292"/>
    </row>
    <row r="293" spans="10:10" x14ac:dyDescent="0.2">
      <c r="J293"/>
    </row>
    <row r="294" spans="10:10" x14ac:dyDescent="0.2">
      <c r="J294"/>
    </row>
    <row r="295" spans="10:10" x14ac:dyDescent="0.2">
      <c r="J295"/>
    </row>
    <row r="296" spans="10:10" x14ac:dyDescent="0.2">
      <c r="J296"/>
    </row>
    <row r="297" spans="10:10" x14ac:dyDescent="0.2">
      <c r="J297"/>
    </row>
    <row r="298" spans="10:10" x14ac:dyDescent="0.2">
      <c r="J298"/>
    </row>
    <row r="299" spans="10:10" x14ac:dyDescent="0.2">
      <c r="J299"/>
    </row>
    <row r="300" spans="10:10" x14ac:dyDescent="0.2">
      <c r="J300"/>
    </row>
    <row r="301" spans="10:10" x14ac:dyDescent="0.2">
      <c r="J301"/>
    </row>
    <row r="302" spans="10:10" x14ac:dyDescent="0.2">
      <c r="J302"/>
    </row>
    <row r="303" spans="10:10" x14ac:dyDescent="0.2">
      <c r="J303"/>
    </row>
    <row r="304" spans="10:10" x14ac:dyDescent="0.2">
      <c r="J304"/>
    </row>
    <row r="305" spans="10:10" x14ac:dyDescent="0.2">
      <c r="J305"/>
    </row>
    <row r="306" spans="10:10" x14ac:dyDescent="0.2">
      <c r="J306"/>
    </row>
    <row r="307" spans="10:10" x14ac:dyDescent="0.2">
      <c r="J307"/>
    </row>
    <row r="308" spans="10:10" x14ac:dyDescent="0.2">
      <c r="J308"/>
    </row>
    <row r="309" spans="10:10" x14ac:dyDescent="0.2">
      <c r="J309"/>
    </row>
    <row r="310" spans="10:10" x14ac:dyDescent="0.2">
      <c r="J310"/>
    </row>
    <row r="311" spans="10:10" x14ac:dyDescent="0.2">
      <c r="J311"/>
    </row>
    <row r="312" spans="10:10" x14ac:dyDescent="0.2">
      <c r="J312"/>
    </row>
    <row r="313" spans="10:10" x14ac:dyDescent="0.2">
      <c r="J313"/>
    </row>
    <row r="314" spans="10:10" x14ac:dyDescent="0.2">
      <c r="J314"/>
    </row>
    <row r="315" spans="10:10" x14ac:dyDescent="0.2">
      <c r="J315"/>
    </row>
    <row r="316" spans="10:10" x14ac:dyDescent="0.2">
      <c r="J316"/>
    </row>
    <row r="317" spans="10:10" x14ac:dyDescent="0.2">
      <c r="J317"/>
    </row>
    <row r="318" spans="10:10" x14ac:dyDescent="0.2">
      <c r="J318"/>
    </row>
    <row r="319" spans="10:10" x14ac:dyDescent="0.2">
      <c r="J319"/>
    </row>
    <row r="320" spans="10:10" x14ac:dyDescent="0.2">
      <c r="J320"/>
    </row>
    <row r="321" spans="10:10" x14ac:dyDescent="0.2">
      <c r="J321"/>
    </row>
    <row r="322" spans="10:10" x14ac:dyDescent="0.2">
      <c r="J322"/>
    </row>
    <row r="323" spans="10:10" x14ac:dyDescent="0.2">
      <c r="J323"/>
    </row>
    <row r="324" spans="10:10" x14ac:dyDescent="0.2">
      <c r="J324"/>
    </row>
    <row r="325" spans="10:10" x14ac:dyDescent="0.2">
      <c r="J325"/>
    </row>
    <row r="326" spans="10:10" x14ac:dyDescent="0.2">
      <c r="J326"/>
    </row>
    <row r="327" spans="10:10" x14ac:dyDescent="0.2">
      <c r="J327"/>
    </row>
    <row r="328" spans="10:10" x14ac:dyDescent="0.2">
      <c r="J328"/>
    </row>
    <row r="329" spans="10:10" x14ac:dyDescent="0.2">
      <c r="J329"/>
    </row>
    <row r="330" spans="10:10" x14ac:dyDescent="0.2">
      <c r="J330"/>
    </row>
    <row r="331" spans="10:10" x14ac:dyDescent="0.2">
      <c r="J331"/>
    </row>
    <row r="332" spans="10:10" x14ac:dyDescent="0.2">
      <c r="J332"/>
    </row>
    <row r="333" spans="10:10" x14ac:dyDescent="0.2">
      <c r="J333"/>
    </row>
    <row r="334" spans="10:10" x14ac:dyDescent="0.2">
      <c r="J334"/>
    </row>
    <row r="335" spans="10:10" x14ac:dyDescent="0.2">
      <c r="J335"/>
    </row>
    <row r="336" spans="10:10" x14ac:dyDescent="0.2">
      <c r="J336"/>
    </row>
    <row r="337" spans="10:10" x14ac:dyDescent="0.2">
      <c r="J337"/>
    </row>
    <row r="338" spans="10:10" x14ac:dyDescent="0.2">
      <c r="J338"/>
    </row>
    <row r="339" spans="10:10" x14ac:dyDescent="0.2">
      <c r="J339"/>
    </row>
    <row r="340" spans="10:10" x14ac:dyDescent="0.2">
      <c r="J340"/>
    </row>
    <row r="341" spans="10:10" x14ac:dyDescent="0.2">
      <c r="J341"/>
    </row>
    <row r="342" spans="10:10" x14ac:dyDescent="0.2">
      <c r="J342"/>
    </row>
    <row r="343" spans="10:10" x14ac:dyDescent="0.2">
      <c r="J343"/>
    </row>
    <row r="344" spans="10:10" x14ac:dyDescent="0.2">
      <c r="J344"/>
    </row>
    <row r="345" spans="10:10" x14ac:dyDescent="0.2">
      <c r="J345"/>
    </row>
    <row r="346" spans="10:10" x14ac:dyDescent="0.2">
      <c r="J346"/>
    </row>
    <row r="347" spans="10:10" x14ac:dyDescent="0.2">
      <c r="J347"/>
    </row>
    <row r="348" spans="10:10" x14ac:dyDescent="0.2">
      <c r="J348"/>
    </row>
    <row r="349" spans="10:10" x14ac:dyDescent="0.2">
      <c r="J349"/>
    </row>
    <row r="350" spans="10:10" x14ac:dyDescent="0.2">
      <c r="J350"/>
    </row>
    <row r="351" spans="10:10" x14ac:dyDescent="0.2">
      <c r="J351"/>
    </row>
    <row r="352" spans="10:10" x14ac:dyDescent="0.2">
      <c r="J352"/>
    </row>
    <row r="353" spans="10:10" x14ac:dyDescent="0.2">
      <c r="J353"/>
    </row>
    <row r="354" spans="10:10" x14ac:dyDescent="0.2">
      <c r="J354"/>
    </row>
    <row r="355" spans="10:10" x14ac:dyDescent="0.2">
      <c r="J355"/>
    </row>
    <row r="356" spans="10:10" x14ac:dyDescent="0.2">
      <c r="J356"/>
    </row>
    <row r="357" spans="10:10" x14ac:dyDescent="0.2">
      <c r="J357"/>
    </row>
    <row r="358" spans="10:10" x14ac:dyDescent="0.2">
      <c r="J358"/>
    </row>
    <row r="359" spans="10:10" x14ac:dyDescent="0.2">
      <c r="J359"/>
    </row>
    <row r="360" spans="10:10" x14ac:dyDescent="0.2">
      <c r="J360"/>
    </row>
    <row r="361" spans="10:10" x14ac:dyDescent="0.2">
      <c r="J361"/>
    </row>
    <row r="362" spans="10:10" x14ac:dyDescent="0.2">
      <c r="J362"/>
    </row>
    <row r="363" spans="10:10" x14ac:dyDescent="0.2">
      <c r="J363"/>
    </row>
    <row r="364" spans="10:10" x14ac:dyDescent="0.2">
      <c r="J364"/>
    </row>
    <row r="365" spans="10:10" x14ac:dyDescent="0.2">
      <c r="J365"/>
    </row>
    <row r="366" spans="10:10" x14ac:dyDescent="0.2">
      <c r="J366"/>
    </row>
    <row r="367" spans="10:10" x14ac:dyDescent="0.2">
      <c r="J367"/>
    </row>
    <row r="368" spans="10:10" x14ac:dyDescent="0.2">
      <c r="J368"/>
    </row>
    <row r="369" spans="10:10" x14ac:dyDescent="0.2">
      <c r="J369"/>
    </row>
    <row r="370" spans="10:10" x14ac:dyDescent="0.2">
      <c r="J370"/>
    </row>
    <row r="371" spans="10:10" x14ac:dyDescent="0.2">
      <c r="J371"/>
    </row>
    <row r="372" spans="10:10" x14ac:dyDescent="0.2">
      <c r="J372"/>
    </row>
    <row r="373" spans="10:10" x14ac:dyDescent="0.2">
      <c r="J373"/>
    </row>
    <row r="374" spans="10:10" x14ac:dyDescent="0.2">
      <c r="J374"/>
    </row>
    <row r="375" spans="10:10" x14ac:dyDescent="0.2">
      <c r="J375"/>
    </row>
    <row r="376" spans="10:10" x14ac:dyDescent="0.2">
      <c r="J376"/>
    </row>
    <row r="377" spans="10:10" x14ac:dyDescent="0.2">
      <c r="J377"/>
    </row>
    <row r="378" spans="10:10" x14ac:dyDescent="0.2">
      <c r="J378"/>
    </row>
    <row r="379" spans="10:10" x14ac:dyDescent="0.2">
      <c r="J379"/>
    </row>
    <row r="380" spans="10:10" x14ac:dyDescent="0.2">
      <c r="J380"/>
    </row>
    <row r="381" spans="10:10" x14ac:dyDescent="0.2">
      <c r="J381"/>
    </row>
    <row r="382" spans="10:10" x14ac:dyDescent="0.2">
      <c r="J382"/>
    </row>
    <row r="383" spans="10:10" x14ac:dyDescent="0.2">
      <c r="J383"/>
    </row>
    <row r="384" spans="10:10" x14ac:dyDescent="0.2">
      <c r="J384"/>
    </row>
    <row r="385" spans="10:10" x14ac:dyDescent="0.2">
      <c r="J385"/>
    </row>
    <row r="386" spans="10:10" x14ac:dyDescent="0.2">
      <c r="J386"/>
    </row>
    <row r="387" spans="10:10" x14ac:dyDescent="0.2">
      <c r="J387"/>
    </row>
    <row r="388" spans="10:10" x14ac:dyDescent="0.2">
      <c r="J388"/>
    </row>
    <row r="389" spans="10:10" x14ac:dyDescent="0.2">
      <c r="J389"/>
    </row>
    <row r="390" spans="10:10" x14ac:dyDescent="0.2">
      <c r="J390"/>
    </row>
    <row r="391" spans="10:10" x14ac:dyDescent="0.2">
      <c r="J391"/>
    </row>
    <row r="392" spans="10:10" x14ac:dyDescent="0.2">
      <c r="J392"/>
    </row>
    <row r="393" spans="10:10" x14ac:dyDescent="0.2">
      <c r="J393"/>
    </row>
    <row r="394" spans="10:10" x14ac:dyDescent="0.2">
      <c r="J394"/>
    </row>
    <row r="395" spans="10:10" x14ac:dyDescent="0.2">
      <c r="J395"/>
    </row>
    <row r="396" spans="10:10" x14ac:dyDescent="0.2">
      <c r="J396"/>
    </row>
    <row r="397" spans="10:10" x14ac:dyDescent="0.2">
      <c r="J397"/>
    </row>
    <row r="398" spans="10:10" x14ac:dyDescent="0.2">
      <c r="J398"/>
    </row>
    <row r="399" spans="10:10" x14ac:dyDescent="0.2">
      <c r="J399"/>
    </row>
    <row r="400" spans="10:10" x14ac:dyDescent="0.2">
      <c r="J400"/>
    </row>
    <row r="401" spans="10:10" x14ac:dyDescent="0.2">
      <c r="J401"/>
    </row>
    <row r="402" spans="10:10" x14ac:dyDescent="0.2">
      <c r="J402"/>
    </row>
    <row r="403" spans="10:10" x14ac:dyDescent="0.2">
      <c r="J403"/>
    </row>
    <row r="404" spans="10:10" x14ac:dyDescent="0.2">
      <c r="J404"/>
    </row>
    <row r="405" spans="10:10" x14ac:dyDescent="0.2">
      <c r="J405"/>
    </row>
    <row r="406" spans="10:10" x14ac:dyDescent="0.2">
      <c r="J406"/>
    </row>
    <row r="407" spans="10:10" x14ac:dyDescent="0.2">
      <c r="J407"/>
    </row>
    <row r="408" spans="10:10" x14ac:dyDescent="0.2">
      <c r="J408"/>
    </row>
    <row r="409" spans="10:10" x14ac:dyDescent="0.2">
      <c r="J409"/>
    </row>
    <row r="410" spans="10:10" x14ac:dyDescent="0.2">
      <c r="J410"/>
    </row>
    <row r="411" spans="10:10" x14ac:dyDescent="0.2">
      <c r="J411"/>
    </row>
    <row r="412" spans="10:10" x14ac:dyDescent="0.2">
      <c r="J412"/>
    </row>
    <row r="413" spans="10:10" x14ac:dyDescent="0.2">
      <c r="J413"/>
    </row>
    <row r="414" spans="10:10" x14ac:dyDescent="0.2">
      <c r="J414"/>
    </row>
    <row r="415" spans="10:10" x14ac:dyDescent="0.2">
      <c r="J415"/>
    </row>
    <row r="416" spans="10:10" x14ac:dyDescent="0.2">
      <c r="J416"/>
    </row>
    <row r="417" spans="10:10" x14ac:dyDescent="0.2">
      <c r="J417"/>
    </row>
    <row r="418" spans="10:10" x14ac:dyDescent="0.2">
      <c r="J418"/>
    </row>
    <row r="419" spans="10:10" x14ac:dyDescent="0.2">
      <c r="J419"/>
    </row>
    <row r="420" spans="10:10" x14ac:dyDescent="0.2">
      <c r="J420"/>
    </row>
    <row r="421" spans="10:10" x14ac:dyDescent="0.2">
      <c r="J421"/>
    </row>
    <row r="422" spans="10:10" x14ac:dyDescent="0.2">
      <c r="J422"/>
    </row>
    <row r="423" spans="10:10" x14ac:dyDescent="0.2">
      <c r="J423"/>
    </row>
    <row r="424" spans="10:10" x14ac:dyDescent="0.2">
      <c r="J424"/>
    </row>
    <row r="425" spans="10:10" x14ac:dyDescent="0.2">
      <c r="J425"/>
    </row>
    <row r="426" spans="10:10" x14ac:dyDescent="0.2">
      <c r="J426"/>
    </row>
    <row r="427" spans="10:10" x14ac:dyDescent="0.2">
      <c r="J427"/>
    </row>
    <row r="428" spans="10:10" x14ac:dyDescent="0.2">
      <c r="J428"/>
    </row>
    <row r="429" spans="10:10" x14ac:dyDescent="0.2">
      <c r="J429"/>
    </row>
    <row r="430" spans="10:10" x14ac:dyDescent="0.2">
      <c r="J430"/>
    </row>
    <row r="431" spans="10:10" x14ac:dyDescent="0.2">
      <c r="J431"/>
    </row>
    <row r="432" spans="10:10" x14ac:dyDescent="0.2">
      <c r="J432"/>
    </row>
    <row r="433" spans="10:10" x14ac:dyDescent="0.2">
      <c r="J433"/>
    </row>
    <row r="434" spans="10:10" x14ac:dyDescent="0.2">
      <c r="J434"/>
    </row>
    <row r="435" spans="10:10" x14ac:dyDescent="0.2">
      <c r="J435"/>
    </row>
    <row r="436" spans="10:10" x14ac:dyDescent="0.2">
      <c r="J436"/>
    </row>
    <row r="437" spans="10:10" x14ac:dyDescent="0.2">
      <c r="J437"/>
    </row>
    <row r="438" spans="10:10" x14ac:dyDescent="0.2">
      <c r="J438"/>
    </row>
    <row r="439" spans="10:10" x14ac:dyDescent="0.2">
      <c r="J439"/>
    </row>
    <row r="440" spans="10:10" x14ac:dyDescent="0.2">
      <c r="J440"/>
    </row>
    <row r="441" spans="10:10" x14ac:dyDescent="0.2">
      <c r="J441"/>
    </row>
    <row r="442" spans="10:10" x14ac:dyDescent="0.2">
      <c r="J442"/>
    </row>
    <row r="443" spans="10:10" x14ac:dyDescent="0.2">
      <c r="J443"/>
    </row>
    <row r="444" spans="10:10" x14ac:dyDescent="0.2">
      <c r="J444"/>
    </row>
    <row r="445" spans="10:10" x14ac:dyDescent="0.2">
      <c r="J445"/>
    </row>
    <row r="446" spans="10:10" x14ac:dyDescent="0.2">
      <c r="J446"/>
    </row>
    <row r="447" spans="10:10" x14ac:dyDescent="0.2">
      <c r="J447"/>
    </row>
    <row r="448" spans="10:10" x14ac:dyDescent="0.2">
      <c r="J448"/>
    </row>
    <row r="449" spans="10:10" x14ac:dyDescent="0.2">
      <c r="J449"/>
    </row>
    <row r="450" spans="10:10" x14ac:dyDescent="0.2">
      <c r="J450"/>
    </row>
    <row r="451" spans="10:10" x14ac:dyDescent="0.2">
      <c r="J451"/>
    </row>
    <row r="452" spans="10:10" x14ac:dyDescent="0.2">
      <c r="J452"/>
    </row>
    <row r="453" spans="10:10" x14ac:dyDescent="0.2">
      <c r="J453"/>
    </row>
    <row r="454" spans="10:10" x14ac:dyDescent="0.2">
      <c r="J454"/>
    </row>
    <row r="455" spans="10:10" x14ac:dyDescent="0.2">
      <c r="J455"/>
    </row>
    <row r="456" spans="10:10" x14ac:dyDescent="0.2">
      <c r="J456"/>
    </row>
    <row r="457" spans="10:10" x14ac:dyDescent="0.2">
      <c r="J457"/>
    </row>
    <row r="458" spans="10:10" x14ac:dyDescent="0.2">
      <c r="J458"/>
    </row>
    <row r="459" spans="10:10" x14ac:dyDescent="0.2">
      <c r="J459"/>
    </row>
    <row r="460" spans="10:10" x14ac:dyDescent="0.2">
      <c r="J460"/>
    </row>
    <row r="461" spans="10:10" x14ac:dyDescent="0.2">
      <c r="J461"/>
    </row>
    <row r="462" spans="10:10" x14ac:dyDescent="0.2">
      <c r="J462"/>
    </row>
    <row r="463" spans="10:10" x14ac:dyDescent="0.2">
      <c r="J463"/>
    </row>
    <row r="464" spans="10:10" x14ac:dyDescent="0.2">
      <c r="J464"/>
    </row>
    <row r="465" spans="10:10" x14ac:dyDescent="0.2">
      <c r="J465"/>
    </row>
    <row r="466" spans="10:10" x14ac:dyDescent="0.2">
      <c r="J466"/>
    </row>
    <row r="467" spans="10:10" x14ac:dyDescent="0.2">
      <c r="J467"/>
    </row>
    <row r="468" spans="10:10" x14ac:dyDescent="0.2">
      <c r="J468"/>
    </row>
    <row r="469" spans="10:10" x14ac:dyDescent="0.2">
      <c r="J469"/>
    </row>
    <row r="470" spans="10:10" x14ac:dyDescent="0.2">
      <c r="J470"/>
    </row>
    <row r="471" spans="10:10" x14ac:dyDescent="0.2">
      <c r="J471"/>
    </row>
    <row r="472" spans="10:10" x14ac:dyDescent="0.2">
      <c r="J472"/>
    </row>
    <row r="473" spans="10:10" x14ac:dyDescent="0.2">
      <c r="J473"/>
    </row>
    <row r="474" spans="10:10" x14ac:dyDescent="0.2">
      <c r="J474"/>
    </row>
    <row r="475" spans="10:10" x14ac:dyDescent="0.2">
      <c r="J475"/>
    </row>
    <row r="476" spans="10:10" x14ac:dyDescent="0.2">
      <c r="J476"/>
    </row>
    <row r="477" spans="10:10" x14ac:dyDescent="0.2">
      <c r="J477"/>
    </row>
    <row r="478" spans="10:10" x14ac:dyDescent="0.2">
      <c r="J478"/>
    </row>
    <row r="479" spans="10:10" x14ac:dyDescent="0.2">
      <c r="J479"/>
    </row>
    <row r="480" spans="10:10" x14ac:dyDescent="0.2">
      <c r="J480"/>
    </row>
    <row r="481" spans="10:10" x14ac:dyDescent="0.2">
      <c r="J481"/>
    </row>
    <row r="482" spans="10:10" x14ac:dyDescent="0.2">
      <c r="J482"/>
    </row>
    <row r="483" spans="10:10" x14ac:dyDescent="0.2">
      <c r="J483"/>
    </row>
    <row r="484" spans="10:10" x14ac:dyDescent="0.2">
      <c r="J484"/>
    </row>
    <row r="485" spans="10:10" x14ac:dyDescent="0.2">
      <c r="J485"/>
    </row>
    <row r="486" spans="10:10" x14ac:dyDescent="0.2">
      <c r="J486"/>
    </row>
    <row r="487" spans="10:10" x14ac:dyDescent="0.2">
      <c r="J487"/>
    </row>
    <row r="488" spans="10:10" x14ac:dyDescent="0.2">
      <c r="J488"/>
    </row>
    <row r="489" spans="10:10" x14ac:dyDescent="0.2">
      <c r="J489"/>
    </row>
    <row r="490" spans="10:10" x14ac:dyDescent="0.2">
      <c r="J490"/>
    </row>
    <row r="491" spans="10:10" x14ac:dyDescent="0.2">
      <c r="J491"/>
    </row>
    <row r="492" spans="10:10" x14ac:dyDescent="0.2">
      <c r="J492"/>
    </row>
    <row r="493" spans="10:10" x14ac:dyDescent="0.2">
      <c r="J493"/>
    </row>
    <row r="494" spans="10:10" x14ac:dyDescent="0.2">
      <c r="J494"/>
    </row>
    <row r="495" spans="10:10" x14ac:dyDescent="0.2">
      <c r="J495"/>
    </row>
    <row r="496" spans="10:10" x14ac:dyDescent="0.2">
      <c r="J496"/>
    </row>
    <row r="497" spans="10:10" x14ac:dyDescent="0.2">
      <c r="J497"/>
    </row>
    <row r="498" spans="10:10" x14ac:dyDescent="0.2">
      <c r="J498"/>
    </row>
    <row r="499" spans="10:10" x14ac:dyDescent="0.2">
      <c r="J499"/>
    </row>
    <row r="500" spans="10:10" x14ac:dyDescent="0.2">
      <c r="J500"/>
    </row>
    <row r="501" spans="10:10" x14ac:dyDescent="0.2">
      <c r="J501"/>
    </row>
    <row r="502" spans="10:10" x14ac:dyDescent="0.2">
      <c r="J502"/>
    </row>
    <row r="503" spans="10:10" x14ac:dyDescent="0.2">
      <c r="J503"/>
    </row>
    <row r="504" spans="10:10" x14ac:dyDescent="0.2">
      <c r="J504"/>
    </row>
    <row r="505" spans="10:10" x14ac:dyDescent="0.2">
      <c r="J505"/>
    </row>
    <row r="506" spans="10:10" x14ac:dyDescent="0.2">
      <c r="J506"/>
    </row>
    <row r="507" spans="10:10" x14ac:dyDescent="0.2">
      <c r="J507"/>
    </row>
    <row r="508" spans="10:10" x14ac:dyDescent="0.2">
      <c r="J508"/>
    </row>
    <row r="509" spans="10:10" x14ac:dyDescent="0.2">
      <c r="J509"/>
    </row>
    <row r="510" spans="10:10" x14ac:dyDescent="0.2">
      <c r="J510"/>
    </row>
    <row r="511" spans="10:10" x14ac:dyDescent="0.2">
      <c r="J511"/>
    </row>
    <row r="512" spans="10:10" x14ac:dyDescent="0.2">
      <c r="J512"/>
    </row>
    <row r="513" spans="10:10" x14ac:dyDescent="0.2">
      <c r="J513"/>
    </row>
    <row r="514" spans="10:10" x14ac:dyDescent="0.2">
      <c r="J514"/>
    </row>
    <row r="515" spans="10:10" x14ac:dyDescent="0.2">
      <c r="J515"/>
    </row>
    <row r="516" spans="10:10" x14ac:dyDescent="0.2">
      <c r="J516"/>
    </row>
    <row r="517" spans="10:10" x14ac:dyDescent="0.2">
      <c r="J517"/>
    </row>
    <row r="518" spans="10:10" x14ac:dyDescent="0.2">
      <c r="J518"/>
    </row>
    <row r="519" spans="10:10" x14ac:dyDescent="0.2">
      <c r="J519"/>
    </row>
    <row r="520" spans="10:10" x14ac:dyDescent="0.2">
      <c r="J520"/>
    </row>
    <row r="521" spans="10:10" x14ac:dyDescent="0.2">
      <c r="J521"/>
    </row>
    <row r="522" spans="10:10" x14ac:dyDescent="0.2">
      <c r="J522"/>
    </row>
    <row r="523" spans="10:10" x14ac:dyDescent="0.2">
      <c r="J523"/>
    </row>
    <row r="524" spans="10:10" x14ac:dyDescent="0.2">
      <c r="J524"/>
    </row>
    <row r="525" spans="10:10" x14ac:dyDescent="0.2">
      <c r="J525"/>
    </row>
    <row r="526" spans="10:10" x14ac:dyDescent="0.2">
      <c r="J526"/>
    </row>
    <row r="527" spans="10:10" x14ac:dyDescent="0.2">
      <c r="J527"/>
    </row>
    <row r="528" spans="10:10" x14ac:dyDescent="0.2">
      <c r="J528"/>
    </row>
    <row r="529" spans="10:10" x14ac:dyDescent="0.2">
      <c r="J529"/>
    </row>
    <row r="530" spans="10:10" x14ac:dyDescent="0.2">
      <c r="J530"/>
    </row>
    <row r="531" spans="10:10" x14ac:dyDescent="0.2">
      <c r="J531"/>
    </row>
    <row r="532" spans="10:10" x14ac:dyDescent="0.2">
      <c r="J532"/>
    </row>
    <row r="533" spans="10:10" x14ac:dyDescent="0.2">
      <c r="J533"/>
    </row>
    <row r="534" spans="10:10" x14ac:dyDescent="0.2">
      <c r="J534"/>
    </row>
    <row r="535" spans="10:10" x14ac:dyDescent="0.2">
      <c r="J535"/>
    </row>
    <row r="536" spans="10:10" x14ac:dyDescent="0.2">
      <c r="J536"/>
    </row>
    <row r="537" spans="10:10" x14ac:dyDescent="0.2">
      <c r="J537"/>
    </row>
    <row r="538" spans="10:10" x14ac:dyDescent="0.2">
      <c r="J538"/>
    </row>
    <row r="539" spans="10:10" x14ac:dyDescent="0.2">
      <c r="J539"/>
    </row>
    <row r="540" spans="10:10" x14ac:dyDescent="0.2">
      <c r="J540"/>
    </row>
    <row r="541" spans="10:10" x14ac:dyDescent="0.2">
      <c r="J541"/>
    </row>
    <row r="542" spans="10:10" x14ac:dyDescent="0.2">
      <c r="J542"/>
    </row>
    <row r="543" spans="10:10" x14ac:dyDescent="0.2">
      <c r="J543"/>
    </row>
    <row r="544" spans="10:10" x14ac:dyDescent="0.2">
      <c r="J544"/>
    </row>
    <row r="545" spans="10:10" x14ac:dyDescent="0.2">
      <c r="J545"/>
    </row>
    <row r="546" spans="10:10" x14ac:dyDescent="0.2">
      <c r="J546"/>
    </row>
    <row r="547" spans="10:10" x14ac:dyDescent="0.2">
      <c r="J547"/>
    </row>
    <row r="548" spans="10:10" x14ac:dyDescent="0.2">
      <c r="J548"/>
    </row>
    <row r="549" spans="10:10" x14ac:dyDescent="0.2">
      <c r="J549"/>
    </row>
    <row r="550" spans="10:10" x14ac:dyDescent="0.2">
      <c r="J550"/>
    </row>
    <row r="551" spans="10:10" x14ac:dyDescent="0.2">
      <c r="J551"/>
    </row>
    <row r="552" spans="10:10" x14ac:dyDescent="0.2">
      <c r="J552"/>
    </row>
    <row r="553" spans="10:10" x14ac:dyDescent="0.2">
      <c r="J553"/>
    </row>
    <row r="554" spans="10:10" x14ac:dyDescent="0.2">
      <c r="J554"/>
    </row>
    <row r="555" spans="10:10" x14ac:dyDescent="0.2">
      <c r="J555"/>
    </row>
    <row r="556" spans="10:10" x14ac:dyDescent="0.2">
      <c r="J556"/>
    </row>
    <row r="557" spans="10:10" x14ac:dyDescent="0.2">
      <c r="J557"/>
    </row>
    <row r="558" spans="10:10" x14ac:dyDescent="0.2">
      <c r="J558"/>
    </row>
    <row r="559" spans="10:10" x14ac:dyDescent="0.2">
      <c r="J559"/>
    </row>
    <row r="560" spans="10:10" x14ac:dyDescent="0.2">
      <c r="J560"/>
    </row>
    <row r="561" spans="10:10" x14ac:dyDescent="0.2">
      <c r="J561"/>
    </row>
    <row r="562" spans="10:10" x14ac:dyDescent="0.2">
      <c r="J562"/>
    </row>
    <row r="563" spans="10:10" x14ac:dyDescent="0.2">
      <c r="J563"/>
    </row>
    <row r="564" spans="10:10" x14ac:dyDescent="0.2">
      <c r="J564"/>
    </row>
    <row r="565" spans="10:10" x14ac:dyDescent="0.2">
      <c r="J565"/>
    </row>
    <row r="566" spans="10:10" x14ac:dyDescent="0.2">
      <c r="J566"/>
    </row>
    <row r="567" spans="10:10" x14ac:dyDescent="0.2">
      <c r="J567"/>
    </row>
    <row r="568" spans="10:10" x14ac:dyDescent="0.2">
      <c r="J568"/>
    </row>
    <row r="569" spans="10:10" x14ac:dyDescent="0.2">
      <c r="J569"/>
    </row>
    <row r="570" spans="10:10" x14ac:dyDescent="0.2">
      <c r="J570"/>
    </row>
    <row r="571" spans="10:10" x14ac:dyDescent="0.2">
      <c r="J571"/>
    </row>
    <row r="572" spans="10:10" x14ac:dyDescent="0.2">
      <c r="J572"/>
    </row>
    <row r="573" spans="10:10" x14ac:dyDescent="0.2">
      <c r="J573"/>
    </row>
    <row r="574" spans="10:10" x14ac:dyDescent="0.2">
      <c r="J574"/>
    </row>
    <row r="575" spans="10:10" x14ac:dyDescent="0.2">
      <c r="J575"/>
    </row>
    <row r="576" spans="10:10" x14ac:dyDescent="0.2">
      <c r="J576"/>
    </row>
    <row r="577" spans="10:10" x14ac:dyDescent="0.2">
      <c r="J577"/>
    </row>
    <row r="578" spans="10:10" x14ac:dyDescent="0.2">
      <c r="J578"/>
    </row>
    <row r="579" spans="10:10" x14ac:dyDescent="0.2">
      <c r="J579"/>
    </row>
    <row r="580" spans="10:10" x14ac:dyDescent="0.2">
      <c r="J580"/>
    </row>
    <row r="581" spans="10:10" x14ac:dyDescent="0.2">
      <c r="J581"/>
    </row>
    <row r="582" spans="10:10" x14ac:dyDescent="0.2">
      <c r="J582"/>
    </row>
    <row r="583" spans="10:10" x14ac:dyDescent="0.2">
      <c r="J583"/>
    </row>
    <row r="584" spans="10:10" x14ac:dyDescent="0.2">
      <c r="J584"/>
    </row>
    <row r="585" spans="10:10" x14ac:dyDescent="0.2">
      <c r="J585"/>
    </row>
    <row r="586" spans="10:10" x14ac:dyDescent="0.2">
      <c r="J586"/>
    </row>
    <row r="587" spans="10:10" x14ac:dyDescent="0.2">
      <c r="J587"/>
    </row>
    <row r="588" spans="10:10" x14ac:dyDescent="0.2">
      <c r="J588"/>
    </row>
    <row r="589" spans="10:10" x14ac:dyDescent="0.2">
      <c r="J589"/>
    </row>
    <row r="590" spans="10:10" x14ac:dyDescent="0.2">
      <c r="J590"/>
    </row>
    <row r="591" spans="10:10" x14ac:dyDescent="0.2">
      <c r="J591"/>
    </row>
    <row r="592" spans="10:10" x14ac:dyDescent="0.2">
      <c r="J592"/>
    </row>
    <row r="593" spans="10:10" x14ac:dyDescent="0.2">
      <c r="J593"/>
    </row>
    <row r="594" spans="10:10" x14ac:dyDescent="0.2">
      <c r="J594"/>
    </row>
    <row r="595" spans="10:10" x14ac:dyDescent="0.2">
      <c r="J595"/>
    </row>
    <row r="596" spans="10:10" x14ac:dyDescent="0.2">
      <c r="J596"/>
    </row>
    <row r="597" spans="10:10" x14ac:dyDescent="0.2">
      <c r="J597"/>
    </row>
    <row r="598" spans="10:10" x14ac:dyDescent="0.2">
      <c r="J598"/>
    </row>
    <row r="599" spans="10:10" x14ac:dyDescent="0.2">
      <c r="J599"/>
    </row>
    <row r="600" spans="10:10" x14ac:dyDescent="0.2">
      <c r="J600"/>
    </row>
    <row r="601" spans="10:10" x14ac:dyDescent="0.2">
      <c r="J601"/>
    </row>
    <row r="602" spans="10:10" x14ac:dyDescent="0.2">
      <c r="J602"/>
    </row>
    <row r="603" spans="10:10" x14ac:dyDescent="0.2">
      <c r="J603"/>
    </row>
    <row r="604" spans="10:10" x14ac:dyDescent="0.2">
      <c r="J604"/>
    </row>
    <row r="605" spans="10:10" x14ac:dyDescent="0.2">
      <c r="J605"/>
    </row>
    <row r="606" spans="10:10" x14ac:dyDescent="0.2">
      <c r="J606"/>
    </row>
    <row r="607" spans="10:10" x14ac:dyDescent="0.2">
      <c r="J607"/>
    </row>
    <row r="608" spans="10:10" x14ac:dyDescent="0.2">
      <c r="J608"/>
    </row>
    <row r="609" spans="10:10" x14ac:dyDescent="0.2">
      <c r="J609"/>
    </row>
    <row r="610" spans="10:10" x14ac:dyDescent="0.2">
      <c r="J610"/>
    </row>
    <row r="611" spans="10:10" x14ac:dyDescent="0.2">
      <c r="J611"/>
    </row>
    <row r="612" spans="10:10" x14ac:dyDescent="0.2">
      <c r="J612"/>
    </row>
    <row r="613" spans="10:10" x14ac:dyDescent="0.2">
      <c r="J613"/>
    </row>
    <row r="614" spans="10:10" x14ac:dyDescent="0.2">
      <c r="J614"/>
    </row>
    <row r="615" spans="10:10" x14ac:dyDescent="0.2">
      <c r="J615"/>
    </row>
    <row r="616" spans="10:10" x14ac:dyDescent="0.2">
      <c r="J616"/>
    </row>
    <row r="617" spans="10:10" x14ac:dyDescent="0.2">
      <c r="J617"/>
    </row>
    <row r="618" spans="10:10" x14ac:dyDescent="0.2">
      <c r="J618"/>
    </row>
    <row r="619" spans="10:10" x14ac:dyDescent="0.2">
      <c r="J619"/>
    </row>
    <row r="620" spans="10:10" x14ac:dyDescent="0.2">
      <c r="J620"/>
    </row>
    <row r="621" spans="10:10" x14ac:dyDescent="0.2">
      <c r="J621"/>
    </row>
    <row r="622" spans="10:10" x14ac:dyDescent="0.2">
      <c r="J622"/>
    </row>
    <row r="623" spans="10:10" x14ac:dyDescent="0.2">
      <c r="J623"/>
    </row>
    <row r="624" spans="10:10" x14ac:dyDescent="0.2">
      <c r="J624"/>
    </row>
    <row r="625" spans="10:10" x14ac:dyDescent="0.2">
      <c r="J625"/>
    </row>
    <row r="626" spans="10:10" x14ac:dyDescent="0.2">
      <c r="J626"/>
    </row>
    <row r="627" spans="10:10" x14ac:dyDescent="0.2">
      <c r="J627"/>
    </row>
    <row r="628" spans="10:10" x14ac:dyDescent="0.2">
      <c r="J628"/>
    </row>
    <row r="629" spans="10:10" x14ac:dyDescent="0.2">
      <c r="J629"/>
    </row>
    <row r="630" spans="10:10" x14ac:dyDescent="0.2">
      <c r="J630"/>
    </row>
    <row r="631" spans="10:10" x14ac:dyDescent="0.2">
      <c r="J631"/>
    </row>
    <row r="632" spans="10:10" x14ac:dyDescent="0.2">
      <c r="J632"/>
    </row>
    <row r="633" spans="10:10" x14ac:dyDescent="0.2">
      <c r="J633"/>
    </row>
    <row r="634" spans="10:10" x14ac:dyDescent="0.2">
      <c r="J634"/>
    </row>
    <row r="635" spans="10:10" x14ac:dyDescent="0.2">
      <c r="J635"/>
    </row>
    <row r="636" spans="10:10" x14ac:dyDescent="0.2">
      <c r="J636"/>
    </row>
    <row r="637" spans="10:10" x14ac:dyDescent="0.2">
      <c r="J637"/>
    </row>
    <row r="638" spans="10:10" x14ac:dyDescent="0.2">
      <c r="J638"/>
    </row>
    <row r="639" spans="10:10" x14ac:dyDescent="0.2">
      <c r="J639"/>
    </row>
    <row r="640" spans="10:10" x14ac:dyDescent="0.2">
      <c r="J640"/>
    </row>
    <row r="641" spans="10:10" x14ac:dyDescent="0.2">
      <c r="J641"/>
    </row>
    <row r="642" spans="10:10" x14ac:dyDescent="0.2">
      <c r="J642"/>
    </row>
    <row r="643" spans="10:10" x14ac:dyDescent="0.2">
      <c r="J643"/>
    </row>
    <row r="644" spans="10:10" x14ac:dyDescent="0.2">
      <c r="J644"/>
    </row>
    <row r="645" spans="10:10" x14ac:dyDescent="0.2">
      <c r="J645"/>
    </row>
    <row r="646" spans="10:10" x14ac:dyDescent="0.2">
      <c r="J646"/>
    </row>
    <row r="647" spans="10:10" x14ac:dyDescent="0.2">
      <c r="J647"/>
    </row>
    <row r="648" spans="10:10" x14ac:dyDescent="0.2">
      <c r="J648"/>
    </row>
    <row r="649" spans="10:10" x14ac:dyDescent="0.2">
      <c r="J649"/>
    </row>
    <row r="650" spans="10:10" x14ac:dyDescent="0.2">
      <c r="J650"/>
    </row>
    <row r="651" spans="10:10" x14ac:dyDescent="0.2">
      <c r="J651"/>
    </row>
    <row r="652" spans="10:10" x14ac:dyDescent="0.2">
      <c r="J652"/>
    </row>
    <row r="653" spans="10:10" x14ac:dyDescent="0.2">
      <c r="J653"/>
    </row>
    <row r="654" spans="10:10" x14ac:dyDescent="0.2">
      <c r="J654"/>
    </row>
    <row r="655" spans="10:10" x14ac:dyDescent="0.2">
      <c r="J655"/>
    </row>
    <row r="656" spans="10:10" x14ac:dyDescent="0.2">
      <c r="J656"/>
    </row>
    <row r="657" spans="10:10" x14ac:dyDescent="0.2">
      <c r="J657"/>
    </row>
    <row r="658" spans="10:10" x14ac:dyDescent="0.2">
      <c r="J658"/>
    </row>
    <row r="659" spans="10:10" x14ac:dyDescent="0.2">
      <c r="J659"/>
    </row>
    <row r="660" spans="10:10" x14ac:dyDescent="0.2">
      <c r="J660"/>
    </row>
    <row r="661" spans="10:10" x14ac:dyDescent="0.2">
      <c r="J661"/>
    </row>
    <row r="662" spans="10:10" x14ac:dyDescent="0.2">
      <c r="J662"/>
    </row>
    <row r="663" spans="10:10" x14ac:dyDescent="0.2">
      <c r="J663"/>
    </row>
    <row r="664" spans="10:10" x14ac:dyDescent="0.2">
      <c r="J664"/>
    </row>
    <row r="665" spans="10:10" x14ac:dyDescent="0.2">
      <c r="J665"/>
    </row>
    <row r="666" spans="10:10" x14ac:dyDescent="0.2">
      <c r="J666"/>
    </row>
    <row r="667" spans="10:10" x14ac:dyDescent="0.2">
      <c r="J667"/>
    </row>
    <row r="668" spans="10:10" x14ac:dyDescent="0.2">
      <c r="J668"/>
    </row>
    <row r="669" spans="10:10" x14ac:dyDescent="0.2">
      <c r="J669"/>
    </row>
    <row r="670" spans="10:10" x14ac:dyDescent="0.2">
      <c r="J670"/>
    </row>
    <row r="671" spans="10:10" x14ac:dyDescent="0.2">
      <c r="J671"/>
    </row>
    <row r="672" spans="10:10" x14ac:dyDescent="0.2">
      <c r="J672"/>
    </row>
    <row r="673" spans="10:10" x14ac:dyDescent="0.2">
      <c r="J673"/>
    </row>
    <row r="674" spans="10:10" x14ac:dyDescent="0.2">
      <c r="J674"/>
    </row>
    <row r="675" spans="10:10" x14ac:dyDescent="0.2">
      <c r="J675"/>
    </row>
    <row r="676" spans="10:10" x14ac:dyDescent="0.2">
      <c r="J676"/>
    </row>
    <row r="677" spans="10:10" x14ac:dyDescent="0.2">
      <c r="J677"/>
    </row>
    <row r="678" spans="10:10" x14ac:dyDescent="0.2">
      <c r="J678"/>
    </row>
    <row r="679" spans="10:10" x14ac:dyDescent="0.2">
      <c r="J679"/>
    </row>
    <row r="680" spans="10:10" x14ac:dyDescent="0.2">
      <c r="J680"/>
    </row>
    <row r="681" spans="10:10" x14ac:dyDescent="0.2">
      <c r="J681"/>
    </row>
    <row r="682" spans="10:10" x14ac:dyDescent="0.2">
      <c r="J682"/>
    </row>
    <row r="683" spans="10:10" x14ac:dyDescent="0.2">
      <c r="J683"/>
    </row>
    <row r="684" spans="10:10" x14ac:dyDescent="0.2">
      <c r="J684"/>
    </row>
    <row r="685" spans="10:10" x14ac:dyDescent="0.2">
      <c r="J685"/>
    </row>
    <row r="686" spans="10:10" x14ac:dyDescent="0.2">
      <c r="J686"/>
    </row>
    <row r="687" spans="10:10" x14ac:dyDescent="0.2">
      <c r="J687"/>
    </row>
    <row r="688" spans="10:10" x14ac:dyDescent="0.2">
      <c r="J688"/>
    </row>
    <row r="689" spans="10:10" x14ac:dyDescent="0.2">
      <c r="J689"/>
    </row>
    <row r="690" spans="10:10" x14ac:dyDescent="0.2">
      <c r="J690"/>
    </row>
    <row r="691" spans="10:10" x14ac:dyDescent="0.2">
      <c r="J691"/>
    </row>
    <row r="692" spans="10:10" x14ac:dyDescent="0.2">
      <c r="J692"/>
    </row>
    <row r="693" spans="10:10" x14ac:dyDescent="0.2">
      <c r="J693"/>
    </row>
    <row r="694" spans="10:10" x14ac:dyDescent="0.2">
      <c r="J694"/>
    </row>
    <row r="695" spans="10:10" x14ac:dyDescent="0.2">
      <c r="J695"/>
    </row>
    <row r="696" spans="10:10" x14ac:dyDescent="0.2">
      <c r="J696"/>
    </row>
    <row r="697" spans="10:10" x14ac:dyDescent="0.2">
      <c r="J697"/>
    </row>
    <row r="698" spans="10:10" x14ac:dyDescent="0.2">
      <c r="J698"/>
    </row>
    <row r="699" spans="10:10" x14ac:dyDescent="0.2">
      <c r="J699"/>
    </row>
    <row r="700" spans="10:10" x14ac:dyDescent="0.2">
      <c r="J700"/>
    </row>
    <row r="701" spans="10:10" x14ac:dyDescent="0.2">
      <c r="J701"/>
    </row>
    <row r="702" spans="10:10" x14ac:dyDescent="0.2">
      <c r="J702"/>
    </row>
    <row r="703" spans="10:10" x14ac:dyDescent="0.2">
      <c r="J703"/>
    </row>
    <row r="704" spans="10:10" x14ac:dyDescent="0.2">
      <c r="J704"/>
    </row>
    <row r="705" spans="10:10" x14ac:dyDescent="0.2">
      <c r="J705"/>
    </row>
    <row r="706" spans="10:10" x14ac:dyDescent="0.2">
      <c r="J706"/>
    </row>
    <row r="707" spans="10:10" x14ac:dyDescent="0.2">
      <c r="J707"/>
    </row>
    <row r="708" spans="10:10" x14ac:dyDescent="0.2">
      <c r="J708"/>
    </row>
    <row r="709" spans="10:10" x14ac:dyDescent="0.2">
      <c r="J709"/>
    </row>
    <row r="710" spans="10:10" x14ac:dyDescent="0.2">
      <c r="J710"/>
    </row>
    <row r="711" spans="10:10" x14ac:dyDescent="0.2">
      <c r="J711"/>
    </row>
    <row r="712" spans="10:10" x14ac:dyDescent="0.2">
      <c r="J712"/>
    </row>
    <row r="713" spans="10:10" x14ac:dyDescent="0.2">
      <c r="J713"/>
    </row>
    <row r="714" spans="10:10" x14ac:dyDescent="0.2">
      <c r="J714"/>
    </row>
    <row r="715" spans="10:10" x14ac:dyDescent="0.2">
      <c r="J715"/>
    </row>
    <row r="716" spans="10:10" x14ac:dyDescent="0.2">
      <c r="J716"/>
    </row>
    <row r="717" spans="10:10" x14ac:dyDescent="0.2">
      <c r="J717"/>
    </row>
    <row r="718" spans="10:10" x14ac:dyDescent="0.2">
      <c r="J718"/>
    </row>
    <row r="719" spans="10:10" x14ac:dyDescent="0.2">
      <c r="J719"/>
    </row>
    <row r="720" spans="10:10" x14ac:dyDescent="0.2">
      <c r="J720"/>
    </row>
    <row r="721" spans="10:10" x14ac:dyDescent="0.2">
      <c r="J721"/>
    </row>
    <row r="722" spans="10:10" x14ac:dyDescent="0.2">
      <c r="J722"/>
    </row>
    <row r="723" spans="10:10" x14ac:dyDescent="0.2">
      <c r="J723"/>
    </row>
    <row r="724" spans="10:10" x14ac:dyDescent="0.2">
      <c r="J724"/>
    </row>
    <row r="725" spans="10:10" x14ac:dyDescent="0.2">
      <c r="J725"/>
    </row>
    <row r="726" spans="10:10" x14ac:dyDescent="0.2">
      <c r="J726"/>
    </row>
    <row r="727" spans="10:10" x14ac:dyDescent="0.2">
      <c r="J727"/>
    </row>
    <row r="728" spans="10:10" x14ac:dyDescent="0.2">
      <c r="J728"/>
    </row>
    <row r="729" spans="10:10" x14ac:dyDescent="0.2">
      <c r="J729"/>
    </row>
    <row r="730" spans="10:10" x14ac:dyDescent="0.2">
      <c r="J730"/>
    </row>
    <row r="731" spans="10:10" x14ac:dyDescent="0.2">
      <c r="J731"/>
    </row>
    <row r="732" spans="10:10" x14ac:dyDescent="0.2">
      <c r="J732"/>
    </row>
    <row r="733" spans="10:10" x14ac:dyDescent="0.2">
      <c r="J733"/>
    </row>
    <row r="734" spans="10:10" x14ac:dyDescent="0.2">
      <c r="J734"/>
    </row>
    <row r="735" spans="10:10" x14ac:dyDescent="0.2">
      <c r="J735"/>
    </row>
    <row r="736" spans="10:10" x14ac:dyDescent="0.2">
      <c r="J736"/>
    </row>
    <row r="737" spans="10:10" x14ac:dyDescent="0.2">
      <c r="J737"/>
    </row>
    <row r="738" spans="10:10" x14ac:dyDescent="0.2">
      <c r="J738"/>
    </row>
    <row r="739" spans="10:10" x14ac:dyDescent="0.2">
      <c r="J739"/>
    </row>
    <row r="740" spans="10:10" x14ac:dyDescent="0.2">
      <c r="J740"/>
    </row>
    <row r="741" spans="10:10" x14ac:dyDescent="0.2">
      <c r="J741"/>
    </row>
    <row r="742" spans="10:10" x14ac:dyDescent="0.2">
      <c r="J742"/>
    </row>
    <row r="743" spans="10:10" x14ac:dyDescent="0.2">
      <c r="J743"/>
    </row>
    <row r="744" spans="10:10" x14ac:dyDescent="0.2">
      <c r="J744"/>
    </row>
    <row r="745" spans="10:10" x14ac:dyDescent="0.2">
      <c r="J745"/>
    </row>
    <row r="746" spans="10:10" x14ac:dyDescent="0.2">
      <c r="J746"/>
    </row>
    <row r="747" spans="10:10" x14ac:dyDescent="0.2">
      <c r="J747"/>
    </row>
    <row r="748" spans="10:10" x14ac:dyDescent="0.2">
      <c r="J748"/>
    </row>
    <row r="749" spans="10:10" x14ac:dyDescent="0.2">
      <c r="J749"/>
    </row>
    <row r="750" spans="10:10" x14ac:dyDescent="0.2">
      <c r="J750"/>
    </row>
    <row r="751" spans="10:10" x14ac:dyDescent="0.2">
      <c r="J751"/>
    </row>
    <row r="752" spans="10:10" x14ac:dyDescent="0.2">
      <c r="J752"/>
    </row>
    <row r="753" spans="10:10" x14ac:dyDescent="0.2">
      <c r="J753"/>
    </row>
    <row r="754" spans="10:10" x14ac:dyDescent="0.2">
      <c r="J754"/>
    </row>
    <row r="755" spans="10:10" x14ac:dyDescent="0.2">
      <c r="J755"/>
    </row>
    <row r="756" spans="10:10" x14ac:dyDescent="0.2">
      <c r="J756"/>
    </row>
    <row r="757" spans="10:10" x14ac:dyDescent="0.2">
      <c r="J757"/>
    </row>
    <row r="758" spans="10:10" x14ac:dyDescent="0.2">
      <c r="J758"/>
    </row>
    <row r="759" spans="10:10" x14ac:dyDescent="0.2">
      <c r="J759"/>
    </row>
    <row r="760" spans="10:10" x14ac:dyDescent="0.2">
      <c r="J760"/>
    </row>
    <row r="761" spans="10:10" x14ac:dyDescent="0.2">
      <c r="J761"/>
    </row>
    <row r="762" spans="10:10" x14ac:dyDescent="0.2">
      <c r="J762"/>
    </row>
    <row r="763" spans="10:10" x14ac:dyDescent="0.2">
      <c r="J763"/>
    </row>
    <row r="764" spans="10:10" x14ac:dyDescent="0.2">
      <c r="J764"/>
    </row>
    <row r="765" spans="10:10" x14ac:dyDescent="0.2">
      <c r="J765"/>
    </row>
    <row r="766" spans="10:10" x14ac:dyDescent="0.2">
      <c r="J766"/>
    </row>
    <row r="767" spans="10:10" x14ac:dyDescent="0.2">
      <c r="J767"/>
    </row>
    <row r="768" spans="10:10" x14ac:dyDescent="0.2">
      <c r="J768"/>
    </row>
    <row r="769" spans="10:10" x14ac:dyDescent="0.2">
      <c r="J769"/>
    </row>
    <row r="770" spans="10:10" x14ac:dyDescent="0.2">
      <c r="J770"/>
    </row>
    <row r="771" spans="10:10" x14ac:dyDescent="0.2">
      <c r="J771"/>
    </row>
    <row r="772" spans="10:10" x14ac:dyDescent="0.2">
      <c r="J772"/>
    </row>
    <row r="773" spans="10:10" x14ac:dyDescent="0.2">
      <c r="J773"/>
    </row>
    <row r="774" spans="10:10" x14ac:dyDescent="0.2">
      <c r="J774"/>
    </row>
    <row r="775" spans="10:10" x14ac:dyDescent="0.2">
      <c r="J775"/>
    </row>
    <row r="776" spans="10:10" x14ac:dyDescent="0.2">
      <c r="J776"/>
    </row>
    <row r="777" spans="10:10" x14ac:dyDescent="0.2">
      <c r="J777"/>
    </row>
    <row r="778" spans="10:10" x14ac:dyDescent="0.2">
      <c r="J778"/>
    </row>
    <row r="779" spans="10:10" x14ac:dyDescent="0.2">
      <c r="J779"/>
    </row>
    <row r="780" spans="10:10" x14ac:dyDescent="0.2">
      <c r="J780"/>
    </row>
    <row r="781" spans="10:10" x14ac:dyDescent="0.2">
      <c r="J781"/>
    </row>
    <row r="782" spans="10:10" x14ac:dyDescent="0.2">
      <c r="J782"/>
    </row>
    <row r="783" spans="10:10" x14ac:dyDescent="0.2">
      <c r="J783"/>
    </row>
    <row r="784" spans="10:10" x14ac:dyDescent="0.2">
      <c r="J784"/>
    </row>
    <row r="785" spans="10:10" x14ac:dyDescent="0.2">
      <c r="J785"/>
    </row>
    <row r="786" spans="10:10" x14ac:dyDescent="0.2">
      <c r="J786"/>
    </row>
    <row r="787" spans="10:10" x14ac:dyDescent="0.2">
      <c r="J787"/>
    </row>
    <row r="788" spans="10:10" x14ac:dyDescent="0.2">
      <c r="J788"/>
    </row>
    <row r="789" spans="10:10" x14ac:dyDescent="0.2">
      <c r="J789"/>
    </row>
    <row r="790" spans="10:10" x14ac:dyDescent="0.2">
      <c r="J790"/>
    </row>
    <row r="791" spans="10:10" x14ac:dyDescent="0.2">
      <c r="J791"/>
    </row>
    <row r="792" spans="10:10" x14ac:dyDescent="0.2">
      <c r="J792"/>
    </row>
    <row r="793" spans="10:10" x14ac:dyDescent="0.2">
      <c r="J793"/>
    </row>
    <row r="794" spans="10:10" x14ac:dyDescent="0.2">
      <c r="J794"/>
    </row>
    <row r="795" spans="10:10" x14ac:dyDescent="0.2">
      <c r="J795"/>
    </row>
    <row r="796" spans="10:10" x14ac:dyDescent="0.2">
      <c r="J796"/>
    </row>
    <row r="797" spans="10:10" x14ac:dyDescent="0.2">
      <c r="J797"/>
    </row>
    <row r="798" spans="10:10" x14ac:dyDescent="0.2">
      <c r="J798"/>
    </row>
    <row r="799" spans="10:10" x14ac:dyDescent="0.2">
      <c r="J799"/>
    </row>
    <row r="800" spans="10:10" x14ac:dyDescent="0.2">
      <c r="J800"/>
    </row>
    <row r="801" spans="10:10" x14ac:dyDescent="0.2">
      <c r="J801"/>
    </row>
    <row r="802" spans="10:10" x14ac:dyDescent="0.2">
      <c r="J802"/>
    </row>
    <row r="803" spans="10:10" x14ac:dyDescent="0.2">
      <c r="J803"/>
    </row>
    <row r="804" spans="10:10" x14ac:dyDescent="0.2">
      <c r="J804"/>
    </row>
    <row r="805" spans="10:10" x14ac:dyDescent="0.2">
      <c r="J805"/>
    </row>
    <row r="806" spans="10:10" x14ac:dyDescent="0.2">
      <c r="J806"/>
    </row>
    <row r="807" spans="10:10" x14ac:dyDescent="0.2">
      <c r="J807"/>
    </row>
    <row r="808" spans="10:10" x14ac:dyDescent="0.2">
      <c r="J808"/>
    </row>
    <row r="809" spans="10:10" x14ac:dyDescent="0.2">
      <c r="J809"/>
    </row>
    <row r="810" spans="10:10" x14ac:dyDescent="0.2">
      <c r="J810"/>
    </row>
    <row r="811" spans="10:10" x14ac:dyDescent="0.2">
      <c r="J811"/>
    </row>
    <row r="812" spans="10:10" x14ac:dyDescent="0.2">
      <c r="J812"/>
    </row>
    <row r="813" spans="10:10" x14ac:dyDescent="0.2">
      <c r="J813"/>
    </row>
    <row r="814" spans="10:10" x14ac:dyDescent="0.2">
      <c r="J814"/>
    </row>
    <row r="815" spans="10:10" x14ac:dyDescent="0.2">
      <c r="J815"/>
    </row>
    <row r="816" spans="10:10" x14ac:dyDescent="0.2">
      <c r="J816"/>
    </row>
    <row r="817" spans="10:10" x14ac:dyDescent="0.2">
      <c r="J817"/>
    </row>
    <row r="818" spans="10:10" x14ac:dyDescent="0.2">
      <c r="J818"/>
    </row>
    <row r="819" spans="10:10" x14ac:dyDescent="0.2">
      <c r="J819"/>
    </row>
    <row r="820" spans="10:10" x14ac:dyDescent="0.2">
      <c r="J820"/>
    </row>
    <row r="821" spans="10:10" x14ac:dyDescent="0.2">
      <c r="J821"/>
    </row>
    <row r="822" spans="10:10" x14ac:dyDescent="0.2">
      <c r="J822"/>
    </row>
    <row r="823" spans="10:10" x14ac:dyDescent="0.2">
      <c r="J823"/>
    </row>
    <row r="824" spans="10:10" x14ac:dyDescent="0.2">
      <c r="J824"/>
    </row>
    <row r="825" spans="10:10" x14ac:dyDescent="0.2">
      <c r="J825"/>
    </row>
    <row r="826" spans="10:10" x14ac:dyDescent="0.2">
      <c r="J826"/>
    </row>
    <row r="827" spans="10:10" x14ac:dyDescent="0.2">
      <c r="J827"/>
    </row>
    <row r="828" spans="10:10" x14ac:dyDescent="0.2">
      <c r="J828"/>
    </row>
    <row r="829" spans="10:10" x14ac:dyDescent="0.2">
      <c r="J829"/>
    </row>
    <row r="830" spans="10:10" x14ac:dyDescent="0.2">
      <c r="J830"/>
    </row>
    <row r="831" spans="10:10" x14ac:dyDescent="0.2">
      <c r="J831"/>
    </row>
    <row r="832" spans="10:10" x14ac:dyDescent="0.2">
      <c r="J832"/>
    </row>
    <row r="833" spans="10:10" x14ac:dyDescent="0.2">
      <c r="J833"/>
    </row>
    <row r="834" spans="10:10" x14ac:dyDescent="0.2">
      <c r="J834"/>
    </row>
    <row r="835" spans="10:10" x14ac:dyDescent="0.2">
      <c r="J835"/>
    </row>
    <row r="836" spans="10:10" x14ac:dyDescent="0.2">
      <c r="J836"/>
    </row>
    <row r="837" spans="10:10" x14ac:dyDescent="0.2">
      <c r="J837"/>
    </row>
    <row r="838" spans="10:10" x14ac:dyDescent="0.2">
      <c r="J838"/>
    </row>
    <row r="839" spans="10:10" x14ac:dyDescent="0.2">
      <c r="J839"/>
    </row>
    <row r="840" spans="10:10" x14ac:dyDescent="0.2">
      <c r="J840"/>
    </row>
    <row r="841" spans="10:10" x14ac:dyDescent="0.2">
      <c r="J841"/>
    </row>
    <row r="842" spans="10:10" x14ac:dyDescent="0.2">
      <c r="J842"/>
    </row>
    <row r="843" spans="10:10" x14ac:dyDescent="0.2">
      <c r="J843"/>
    </row>
    <row r="844" spans="10:10" x14ac:dyDescent="0.2">
      <c r="J844"/>
    </row>
    <row r="845" spans="10:10" x14ac:dyDescent="0.2">
      <c r="J845"/>
    </row>
    <row r="846" spans="10:10" x14ac:dyDescent="0.2">
      <c r="J846"/>
    </row>
    <row r="847" spans="10:10" x14ac:dyDescent="0.2">
      <c r="J847"/>
    </row>
    <row r="848" spans="10:10" x14ac:dyDescent="0.2">
      <c r="J848"/>
    </row>
    <row r="849" spans="10:10" x14ac:dyDescent="0.2">
      <c r="J849"/>
    </row>
    <row r="850" spans="10:10" x14ac:dyDescent="0.2">
      <c r="J850"/>
    </row>
    <row r="851" spans="10:10" x14ac:dyDescent="0.2">
      <c r="J851"/>
    </row>
    <row r="852" spans="10:10" x14ac:dyDescent="0.2">
      <c r="J852"/>
    </row>
    <row r="853" spans="10:10" x14ac:dyDescent="0.2">
      <c r="J853"/>
    </row>
    <row r="854" spans="10:10" x14ac:dyDescent="0.2">
      <c r="J854"/>
    </row>
    <row r="855" spans="10:10" x14ac:dyDescent="0.2">
      <c r="J855"/>
    </row>
    <row r="856" spans="10:10" x14ac:dyDescent="0.2">
      <c r="J856"/>
    </row>
    <row r="857" spans="10:10" x14ac:dyDescent="0.2">
      <c r="J857"/>
    </row>
    <row r="858" spans="10:10" x14ac:dyDescent="0.2">
      <c r="J858"/>
    </row>
    <row r="859" spans="10:10" x14ac:dyDescent="0.2">
      <c r="J859"/>
    </row>
    <row r="860" spans="10:10" x14ac:dyDescent="0.2">
      <c r="J860"/>
    </row>
    <row r="861" spans="10:10" x14ac:dyDescent="0.2">
      <c r="J861"/>
    </row>
    <row r="862" spans="10:10" x14ac:dyDescent="0.2">
      <c r="J862"/>
    </row>
    <row r="863" spans="10:10" x14ac:dyDescent="0.2">
      <c r="J863"/>
    </row>
    <row r="864" spans="10:10" x14ac:dyDescent="0.2">
      <c r="J864"/>
    </row>
    <row r="865" spans="10:10" x14ac:dyDescent="0.2">
      <c r="J865"/>
    </row>
    <row r="866" spans="10:10" x14ac:dyDescent="0.2">
      <c r="J866"/>
    </row>
    <row r="867" spans="10:10" x14ac:dyDescent="0.2">
      <c r="J867"/>
    </row>
    <row r="868" spans="10:10" x14ac:dyDescent="0.2">
      <c r="J868"/>
    </row>
    <row r="869" spans="10:10" x14ac:dyDescent="0.2">
      <c r="J869"/>
    </row>
    <row r="870" spans="10:10" x14ac:dyDescent="0.2">
      <c r="J870"/>
    </row>
    <row r="871" spans="10:10" x14ac:dyDescent="0.2">
      <c r="J871"/>
    </row>
    <row r="872" spans="10:10" x14ac:dyDescent="0.2">
      <c r="J872"/>
    </row>
    <row r="873" spans="10:10" x14ac:dyDescent="0.2">
      <c r="J873"/>
    </row>
    <row r="874" spans="10:10" x14ac:dyDescent="0.2">
      <c r="J874"/>
    </row>
    <row r="875" spans="10:10" x14ac:dyDescent="0.2">
      <c r="J875"/>
    </row>
    <row r="876" spans="10:10" x14ac:dyDescent="0.2">
      <c r="J876"/>
    </row>
    <row r="877" spans="10:10" x14ac:dyDescent="0.2">
      <c r="J877"/>
    </row>
    <row r="878" spans="10:10" x14ac:dyDescent="0.2">
      <c r="J878"/>
    </row>
    <row r="879" spans="10:10" x14ac:dyDescent="0.2">
      <c r="J879"/>
    </row>
    <row r="880" spans="10:10" x14ac:dyDescent="0.2">
      <c r="J880"/>
    </row>
    <row r="881" spans="10:10" x14ac:dyDescent="0.2">
      <c r="J881"/>
    </row>
    <row r="882" spans="10:10" x14ac:dyDescent="0.2">
      <c r="J882"/>
    </row>
    <row r="883" spans="10:10" x14ac:dyDescent="0.2">
      <c r="J883"/>
    </row>
    <row r="884" spans="10:10" x14ac:dyDescent="0.2">
      <c r="J884"/>
    </row>
    <row r="885" spans="10:10" x14ac:dyDescent="0.2">
      <c r="J885"/>
    </row>
    <row r="886" spans="10:10" x14ac:dyDescent="0.2">
      <c r="J886"/>
    </row>
    <row r="887" spans="10:10" x14ac:dyDescent="0.2">
      <c r="J887"/>
    </row>
    <row r="888" spans="10:10" x14ac:dyDescent="0.2">
      <c r="J888"/>
    </row>
    <row r="889" spans="10:10" x14ac:dyDescent="0.2">
      <c r="J889"/>
    </row>
    <row r="890" spans="10:10" x14ac:dyDescent="0.2">
      <c r="J890"/>
    </row>
    <row r="891" spans="10:10" x14ac:dyDescent="0.2">
      <c r="J891"/>
    </row>
    <row r="892" spans="10:10" x14ac:dyDescent="0.2">
      <c r="J892"/>
    </row>
    <row r="893" spans="10:10" x14ac:dyDescent="0.2">
      <c r="J893"/>
    </row>
    <row r="894" spans="10:10" x14ac:dyDescent="0.2">
      <c r="J894"/>
    </row>
    <row r="895" spans="10:10" x14ac:dyDescent="0.2">
      <c r="J895"/>
    </row>
    <row r="896" spans="10:10" x14ac:dyDescent="0.2">
      <c r="J896"/>
    </row>
    <row r="897" spans="10:10" x14ac:dyDescent="0.2">
      <c r="J897"/>
    </row>
    <row r="898" spans="10:10" x14ac:dyDescent="0.2">
      <c r="J898"/>
    </row>
    <row r="899" spans="10:10" x14ac:dyDescent="0.2">
      <c r="J899"/>
    </row>
    <row r="900" spans="10:10" x14ac:dyDescent="0.2">
      <c r="J900"/>
    </row>
    <row r="901" spans="10:10" x14ac:dyDescent="0.2">
      <c r="J901"/>
    </row>
    <row r="902" spans="10:10" x14ac:dyDescent="0.2">
      <c r="J902"/>
    </row>
    <row r="903" spans="10:10" x14ac:dyDescent="0.2">
      <c r="J903"/>
    </row>
    <row r="904" spans="10:10" x14ac:dyDescent="0.2">
      <c r="J904"/>
    </row>
    <row r="905" spans="10:10" x14ac:dyDescent="0.2">
      <c r="J905"/>
    </row>
    <row r="906" spans="10:10" x14ac:dyDescent="0.2">
      <c r="J906"/>
    </row>
    <row r="907" spans="10:10" x14ac:dyDescent="0.2">
      <c r="J907"/>
    </row>
    <row r="908" spans="10:10" x14ac:dyDescent="0.2">
      <c r="J908"/>
    </row>
    <row r="909" spans="10:10" x14ac:dyDescent="0.2">
      <c r="J909"/>
    </row>
    <row r="910" spans="10:10" x14ac:dyDescent="0.2">
      <c r="J910"/>
    </row>
    <row r="911" spans="10:10" x14ac:dyDescent="0.2">
      <c r="J911"/>
    </row>
    <row r="912" spans="10:10" x14ac:dyDescent="0.2">
      <c r="J912"/>
    </row>
    <row r="913" spans="10:10" x14ac:dyDescent="0.2">
      <c r="J913"/>
    </row>
    <row r="914" spans="10:10" x14ac:dyDescent="0.2">
      <c r="J914"/>
    </row>
    <row r="915" spans="10:10" x14ac:dyDescent="0.2">
      <c r="J915"/>
    </row>
    <row r="916" spans="10:10" x14ac:dyDescent="0.2">
      <c r="J916"/>
    </row>
    <row r="917" spans="10:10" x14ac:dyDescent="0.2">
      <c r="J917"/>
    </row>
    <row r="918" spans="10:10" x14ac:dyDescent="0.2">
      <c r="J918"/>
    </row>
    <row r="919" spans="10:10" x14ac:dyDescent="0.2">
      <c r="J919"/>
    </row>
    <row r="920" spans="10:10" x14ac:dyDescent="0.2">
      <c r="J920"/>
    </row>
    <row r="921" spans="10:10" x14ac:dyDescent="0.2">
      <c r="J921"/>
    </row>
    <row r="922" spans="10:10" x14ac:dyDescent="0.2">
      <c r="J922"/>
    </row>
    <row r="923" spans="10:10" x14ac:dyDescent="0.2">
      <c r="J923"/>
    </row>
    <row r="924" spans="10:10" x14ac:dyDescent="0.2">
      <c r="J924"/>
    </row>
    <row r="925" spans="10:10" x14ac:dyDescent="0.2">
      <c r="J925"/>
    </row>
    <row r="926" spans="10:10" x14ac:dyDescent="0.2">
      <c r="J926"/>
    </row>
    <row r="927" spans="10:10" x14ac:dyDescent="0.2">
      <c r="J927"/>
    </row>
    <row r="928" spans="10:10" x14ac:dyDescent="0.2">
      <c r="J928"/>
    </row>
    <row r="929" spans="10:10" x14ac:dyDescent="0.2">
      <c r="J929"/>
    </row>
    <row r="930" spans="10:10" x14ac:dyDescent="0.2">
      <c r="J930"/>
    </row>
    <row r="931" spans="10:10" x14ac:dyDescent="0.2">
      <c r="J931"/>
    </row>
    <row r="932" spans="10:10" x14ac:dyDescent="0.2">
      <c r="J932"/>
    </row>
    <row r="933" spans="10:10" x14ac:dyDescent="0.2">
      <c r="J933"/>
    </row>
    <row r="934" spans="10:10" x14ac:dyDescent="0.2">
      <c r="J934"/>
    </row>
    <row r="935" spans="10:10" x14ac:dyDescent="0.2">
      <c r="J935"/>
    </row>
    <row r="936" spans="10:10" x14ac:dyDescent="0.2">
      <c r="J936"/>
    </row>
    <row r="937" spans="10:10" x14ac:dyDescent="0.2">
      <c r="J937"/>
    </row>
    <row r="938" spans="10:10" x14ac:dyDescent="0.2">
      <c r="J938"/>
    </row>
    <row r="939" spans="10:10" x14ac:dyDescent="0.2">
      <c r="J939"/>
    </row>
    <row r="940" spans="10:10" x14ac:dyDescent="0.2">
      <c r="J940"/>
    </row>
    <row r="941" spans="10:10" x14ac:dyDescent="0.2">
      <c r="J941"/>
    </row>
    <row r="942" spans="10:10" x14ac:dyDescent="0.2">
      <c r="J942"/>
    </row>
    <row r="943" spans="10:10" x14ac:dyDescent="0.2">
      <c r="J943"/>
    </row>
    <row r="944" spans="10:10" x14ac:dyDescent="0.2">
      <c r="J944"/>
    </row>
    <row r="945" spans="10:10" x14ac:dyDescent="0.2">
      <c r="J945"/>
    </row>
    <row r="946" spans="10:10" x14ac:dyDescent="0.2">
      <c r="J946"/>
    </row>
    <row r="947" spans="10:10" x14ac:dyDescent="0.2">
      <c r="J947"/>
    </row>
    <row r="948" spans="10:10" x14ac:dyDescent="0.2">
      <c r="J948"/>
    </row>
    <row r="949" spans="10:10" x14ac:dyDescent="0.2">
      <c r="J949"/>
    </row>
    <row r="950" spans="10:10" x14ac:dyDescent="0.2">
      <c r="J950"/>
    </row>
    <row r="951" spans="10:10" x14ac:dyDescent="0.2">
      <c r="J951"/>
    </row>
    <row r="952" spans="10:10" x14ac:dyDescent="0.2">
      <c r="J952"/>
    </row>
    <row r="953" spans="10:10" x14ac:dyDescent="0.2">
      <c r="J953"/>
    </row>
    <row r="954" spans="10:10" x14ac:dyDescent="0.2">
      <c r="J954"/>
    </row>
    <row r="955" spans="10:10" x14ac:dyDescent="0.2">
      <c r="J955"/>
    </row>
    <row r="956" spans="10:10" x14ac:dyDescent="0.2">
      <c r="J956"/>
    </row>
    <row r="957" spans="10:10" x14ac:dyDescent="0.2">
      <c r="J957"/>
    </row>
    <row r="958" spans="10:10" x14ac:dyDescent="0.2">
      <c r="J958"/>
    </row>
    <row r="959" spans="10:10" x14ac:dyDescent="0.2">
      <c r="J959"/>
    </row>
    <row r="960" spans="10:10" x14ac:dyDescent="0.2">
      <c r="J960"/>
    </row>
    <row r="961" spans="10:10" x14ac:dyDescent="0.2">
      <c r="J961"/>
    </row>
    <row r="962" spans="10:10" x14ac:dyDescent="0.2">
      <c r="J962"/>
    </row>
    <row r="963" spans="10:10" x14ac:dyDescent="0.2">
      <c r="J963"/>
    </row>
    <row r="964" spans="10:10" x14ac:dyDescent="0.2">
      <c r="J964"/>
    </row>
    <row r="965" spans="10:10" x14ac:dyDescent="0.2">
      <c r="J965"/>
    </row>
    <row r="966" spans="10:10" x14ac:dyDescent="0.2">
      <c r="J966"/>
    </row>
    <row r="967" spans="10:10" x14ac:dyDescent="0.2">
      <c r="J967"/>
    </row>
    <row r="968" spans="10:10" x14ac:dyDescent="0.2">
      <c r="J968"/>
    </row>
    <row r="969" spans="10:10" x14ac:dyDescent="0.2">
      <c r="J969"/>
    </row>
    <row r="970" spans="10:10" x14ac:dyDescent="0.2">
      <c r="J970"/>
    </row>
    <row r="971" spans="10:10" x14ac:dyDescent="0.2">
      <c r="J971"/>
    </row>
    <row r="972" spans="10:10" x14ac:dyDescent="0.2">
      <c r="J972"/>
    </row>
    <row r="973" spans="10:10" x14ac:dyDescent="0.2">
      <c r="J973"/>
    </row>
    <row r="974" spans="10:10" x14ac:dyDescent="0.2">
      <c r="J974"/>
    </row>
    <row r="975" spans="10:10" x14ac:dyDescent="0.2">
      <c r="J975"/>
    </row>
    <row r="976" spans="10:10" x14ac:dyDescent="0.2">
      <c r="J976"/>
    </row>
    <row r="977" spans="10:10" x14ac:dyDescent="0.2">
      <c r="J977"/>
    </row>
    <row r="978" spans="10:10" x14ac:dyDescent="0.2">
      <c r="J978"/>
    </row>
    <row r="979" spans="10:10" x14ac:dyDescent="0.2">
      <c r="J979"/>
    </row>
    <row r="980" spans="10:10" x14ac:dyDescent="0.2">
      <c r="J980"/>
    </row>
    <row r="981" spans="10:10" x14ac:dyDescent="0.2">
      <c r="J981"/>
    </row>
    <row r="982" spans="10:10" x14ac:dyDescent="0.2">
      <c r="J982"/>
    </row>
    <row r="983" spans="10:10" x14ac:dyDescent="0.2">
      <c r="J983"/>
    </row>
    <row r="984" spans="10:10" x14ac:dyDescent="0.2">
      <c r="J984"/>
    </row>
    <row r="985" spans="10:10" x14ac:dyDescent="0.2">
      <c r="J985"/>
    </row>
    <row r="986" spans="10:10" x14ac:dyDescent="0.2">
      <c r="J986"/>
    </row>
    <row r="987" spans="10:10" x14ac:dyDescent="0.2">
      <c r="J987"/>
    </row>
    <row r="988" spans="10:10" x14ac:dyDescent="0.2">
      <c r="J988"/>
    </row>
    <row r="989" spans="10:10" x14ac:dyDescent="0.2">
      <c r="J989"/>
    </row>
    <row r="990" spans="10:10" x14ac:dyDescent="0.2">
      <c r="J990"/>
    </row>
    <row r="991" spans="10:10" x14ac:dyDescent="0.2">
      <c r="J991"/>
    </row>
    <row r="992" spans="10:10" x14ac:dyDescent="0.2">
      <c r="J992"/>
    </row>
    <row r="993" spans="10:10" x14ac:dyDescent="0.2">
      <c r="J993"/>
    </row>
    <row r="994" spans="10:10" x14ac:dyDescent="0.2">
      <c r="J994"/>
    </row>
    <row r="995" spans="10:10" x14ac:dyDescent="0.2">
      <c r="J995"/>
    </row>
    <row r="996" spans="10:10" x14ac:dyDescent="0.2">
      <c r="J996"/>
    </row>
    <row r="997" spans="10:10" x14ac:dyDescent="0.2">
      <c r="J997"/>
    </row>
    <row r="998" spans="10:10" x14ac:dyDescent="0.2">
      <c r="J998"/>
    </row>
    <row r="999" spans="10:10" x14ac:dyDescent="0.2">
      <c r="J999"/>
    </row>
    <row r="1000" spans="10:10" x14ac:dyDescent="0.2">
      <c r="J1000"/>
    </row>
    <row r="1001" spans="10:10" x14ac:dyDescent="0.2">
      <c r="J1001"/>
    </row>
    <row r="1002" spans="10:10" x14ac:dyDescent="0.2">
      <c r="J1002"/>
    </row>
    <row r="1003" spans="10:10" x14ac:dyDescent="0.2">
      <c r="J1003"/>
    </row>
    <row r="1004" spans="10:10" x14ac:dyDescent="0.2">
      <c r="J1004"/>
    </row>
    <row r="1005" spans="10:10" x14ac:dyDescent="0.2">
      <c r="J1005"/>
    </row>
    <row r="1006" spans="10:10" x14ac:dyDescent="0.2">
      <c r="J1006"/>
    </row>
    <row r="1007" spans="10:10" x14ac:dyDescent="0.2">
      <c r="J1007"/>
    </row>
    <row r="1008" spans="10:10" x14ac:dyDescent="0.2">
      <c r="J1008"/>
    </row>
    <row r="1009" spans="10:10" x14ac:dyDescent="0.2">
      <c r="J1009"/>
    </row>
    <row r="1010" spans="10:10" x14ac:dyDescent="0.2">
      <c r="J1010"/>
    </row>
    <row r="1011" spans="10:10" x14ac:dyDescent="0.2">
      <c r="J1011"/>
    </row>
    <row r="1012" spans="10:10" x14ac:dyDescent="0.2">
      <c r="J1012"/>
    </row>
    <row r="1013" spans="10:10" x14ac:dyDescent="0.2">
      <c r="J1013"/>
    </row>
    <row r="1014" spans="10:10" x14ac:dyDescent="0.2">
      <c r="J1014"/>
    </row>
    <row r="1015" spans="10:10" x14ac:dyDescent="0.2">
      <c r="J1015"/>
    </row>
    <row r="1016" spans="10:10" x14ac:dyDescent="0.2">
      <c r="J1016"/>
    </row>
    <row r="1017" spans="10:10" x14ac:dyDescent="0.2">
      <c r="J1017"/>
    </row>
    <row r="1018" spans="10:10" x14ac:dyDescent="0.2">
      <c r="J1018"/>
    </row>
    <row r="1019" spans="10:10" x14ac:dyDescent="0.2">
      <c r="J1019"/>
    </row>
    <row r="1020" spans="10:10" x14ac:dyDescent="0.2">
      <c r="J1020"/>
    </row>
    <row r="1021" spans="10:10" x14ac:dyDescent="0.2">
      <c r="J1021"/>
    </row>
    <row r="1022" spans="10:10" x14ac:dyDescent="0.2">
      <c r="J1022"/>
    </row>
    <row r="1023" spans="10:10" x14ac:dyDescent="0.2">
      <c r="J1023"/>
    </row>
    <row r="1024" spans="10:10" x14ac:dyDescent="0.2">
      <c r="J1024"/>
    </row>
    <row r="1025" spans="10:10" x14ac:dyDescent="0.2">
      <c r="J1025"/>
    </row>
    <row r="1026" spans="10:10" x14ac:dyDescent="0.2">
      <c r="J1026"/>
    </row>
    <row r="1027" spans="10:10" x14ac:dyDescent="0.2">
      <c r="J1027"/>
    </row>
    <row r="1028" spans="10:10" x14ac:dyDescent="0.2">
      <c r="J1028"/>
    </row>
    <row r="1029" spans="10:10" x14ac:dyDescent="0.2">
      <c r="J1029"/>
    </row>
    <row r="1030" spans="10:10" x14ac:dyDescent="0.2">
      <c r="J1030"/>
    </row>
    <row r="1031" spans="10:10" x14ac:dyDescent="0.2">
      <c r="J1031"/>
    </row>
    <row r="1032" spans="10:10" x14ac:dyDescent="0.2">
      <c r="J1032"/>
    </row>
    <row r="1033" spans="10:10" x14ac:dyDescent="0.2">
      <c r="J1033"/>
    </row>
    <row r="1034" spans="10:10" x14ac:dyDescent="0.2">
      <c r="J1034"/>
    </row>
    <row r="1035" spans="10:10" x14ac:dyDescent="0.2">
      <c r="J1035"/>
    </row>
    <row r="1036" spans="10:10" x14ac:dyDescent="0.2">
      <c r="J1036"/>
    </row>
    <row r="1037" spans="10:10" x14ac:dyDescent="0.2">
      <c r="J1037"/>
    </row>
    <row r="1038" spans="10:10" x14ac:dyDescent="0.2">
      <c r="J1038"/>
    </row>
    <row r="1039" spans="10:10" x14ac:dyDescent="0.2">
      <c r="J1039"/>
    </row>
    <row r="1040" spans="10:10" x14ac:dyDescent="0.2">
      <c r="J1040"/>
    </row>
    <row r="1041" spans="10:10" x14ac:dyDescent="0.2">
      <c r="J1041"/>
    </row>
    <row r="1042" spans="10:10" x14ac:dyDescent="0.2">
      <c r="J1042"/>
    </row>
    <row r="1043" spans="10:10" x14ac:dyDescent="0.2">
      <c r="J1043"/>
    </row>
    <row r="1044" spans="10:10" x14ac:dyDescent="0.2">
      <c r="J1044"/>
    </row>
    <row r="1045" spans="10:10" x14ac:dyDescent="0.2">
      <c r="J1045"/>
    </row>
    <row r="1046" spans="10:10" x14ac:dyDescent="0.2">
      <c r="J1046"/>
    </row>
    <row r="1047" spans="10:10" x14ac:dyDescent="0.2">
      <c r="J1047"/>
    </row>
    <row r="1048" spans="10:10" x14ac:dyDescent="0.2">
      <c r="J1048"/>
    </row>
    <row r="1049" spans="10:10" x14ac:dyDescent="0.2">
      <c r="J1049"/>
    </row>
    <row r="1050" spans="10:10" x14ac:dyDescent="0.2">
      <c r="J1050"/>
    </row>
    <row r="1051" spans="10:10" x14ac:dyDescent="0.2">
      <c r="J1051"/>
    </row>
    <row r="1052" spans="10:10" x14ac:dyDescent="0.2">
      <c r="J1052"/>
    </row>
    <row r="1053" spans="10:10" x14ac:dyDescent="0.2">
      <c r="J1053"/>
    </row>
    <row r="1054" spans="10:10" x14ac:dyDescent="0.2">
      <c r="J1054"/>
    </row>
    <row r="1055" spans="10:10" x14ac:dyDescent="0.2">
      <c r="J1055"/>
    </row>
    <row r="1056" spans="10:10" x14ac:dyDescent="0.2">
      <c r="J1056"/>
    </row>
    <row r="1057" spans="10:10" x14ac:dyDescent="0.2">
      <c r="J1057"/>
    </row>
    <row r="1058" spans="10:10" x14ac:dyDescent="0.2">
      <c r="J1058"/>
    </row>
    <row r="1059" spans="10:10" x14ac:dyDescent="0.2">
      <c r="J1059"/>
    </row>
    <row r="1060" spans="10:10" x14ac:dyDescent="0.2">
      <c r="J1060"/>
    </row>
    <row r="1061" spans="10:10" x14ac:dyDescent="0.2">
      <c r="J1061"/>
    </row>
    <row r="1062" spans="10:10" x14ac:dyDescent="0.2">
      <c r="J1062"/>
    </row>
    <row r="1063" spans="10:10" x14ac:dyDescent="0.2">
      <c r="J1063"/>
    </row>
    <row r="1064" spans="10:10" x14ac:dyDescent="0.2">
      <c r="J1064"/>
    </row>
    <row r="1065" spans="10:10" x14ac:dyDescent="0.2">
      <c r="J1065"/>
    </row>
    <row r="1066" spans="10:10" x14ac:dyDescent="0.2">
      <c r="J1066"/>
    </row>
    <row r="1067" spans="10:10" x14ac:dyDescent="0.2">
      <c r="J1067"/>
    </row>
    <row r="1068" spans="10:10" x14ac:dyDescent="0.2">
      <c r="J1068"/>
    </row>
    <row r="1069" spans="10:10" x14ac:dyDescent="0.2">
      <c r="J1069"/>
    </row>
    <row r="1070" spans="10:10" x14ac:dyDescent="0.2">
      <c r="J1070"/>
    </row>
    <row r="1071" spans="10:10" x14ac:dyDescent="0.2">
      <c r="J1071"/>
    </row>
    <row r="1072" spans="10:10" x14ac:dyDescent="0.2">
      <c r="J1072"/>
    </row>
    <row r="1073" spans="10:10" x14ac:dyDescent="0.2">
      <c r="J1073"/>
    </row>
    <row r="1074" spans="10:10" x14ac:dyDescent="0.2">
      <c r="J1074"/>
    </row>
    <row r="1075" spans="10:10" x14ac:dyDescent="0.2">
      <c r="J1075"/>
    </row>
    <row r="1076" spans="10:10" x14ac:dyDescent="0.2">
      <c r="J1076"/>
    </row>
    <row r="1077" spans="10:10" x14ac:dyDescent="0.2">
      <c r="J1077"/>
    </row>
    <row r="1078" spans="10:10" x14ac:dyDescent="0.2">
      <c r="J1078"/>
    </row>
    <row r="1079" spans="10:10" x14ac:dyDescent="0.2">
      <c r="J1079"/>
    </row>
    <row r="1080" spans="10:10" x14ac:dyDescent="0.2">
      <c r="J1080"/>
    </row>
    <row r="1081" spans="10:10" x14ac:dyDescent="0.2">
      <c r="J1081"/>
    </row>
    <row r="1082" spans="10:10" x14ac:dyDescent="0.2">
      <c r="J1082"/>
    </row>
    <row r="1083" spans="10:10" x14ac:dyDescent="0.2">
      <c r="J1083"/>
    </row>
    <row r="1084" spans="10:10" x14ac:dyDescent="0.2">
      <c r="J1084"/>
    </row>
    <row r="1085" spans="10:10" x14ac:dyDescent="0.2">
      <c r="J1085"/>
    </row>
    <row r="1086" spans="10:10" x14ac:dyDescent="0.2">
      <c r="J1086"/>
    </row>
    <row r="1087" spans="10:10" x14ac:dyDescent="0.2">
      <c r="J1087"/>
    </row>
    <row r="1088" spans="10:10" x14ac:dyDescent="0.2">
      <c r="J1088"/>
    </row>
    <row r="1089" spans="10:10" x14ac:dyDescent="0.2">
      <c r="J1089"/>
    </row>
    <row r="1090" spans="10:10" x14ac:dyDescent="0.2">
      <c r="J1090"/>
    </row>
    <row r="1091" spans="10:10" x14ac:dyDescent="0.2">
      <c r="J1091"/>
    </row>
    <row r="1092" spans="10:10" x14ac:dyDescent="0.2">
      <c r="J1092"/>
    </row>
    <row r="1093" spans="10:10" x14ac:dyDescent="0.2">
      <c r="J1093"/>
    </row>
    <row r="1094" spans="10:10" x14ac:dyDescent="0.2">
      <c r="J1094"/>
    </row>
    <row r="1095" spans="10:10" x14ac:dyDescent="0.2">
      <c r="J1095"/>
    </row>
    <row r="1096" spans="10:10" x14ac:dyDescent="0.2">
      <c r="J1096"/>
    </row>
    <row r="1097" spans="10:10" x14ac:dyDescent="0.2">
      <c r="J1097"/>
    </row>
    <row r="1098" spans="10:10" x14ac:dyDescent="0.2">
      <c r="J1098"/>
    </row>
    <row r="1099" spans="10:10" x14ac:dyDescent="0.2">
      <c r="J1099"/>
    </row>
    <row r="1100" spans="10:10" x14ac:dyDescent="0.2">
      <c r="J1100"/>
    </row>
    <row r="1101" spans="10:10" x14ac:dyDescent="0.2">
      <c r="J1101"/>
    </row>
    <row r="1102" spans="10:10" x14ac:dyDescent="0.2">
      <c r="J1102"/>
    </row>
    <row r="1103" spans="10:10" x14ac:dyDescent="0.2">
      <c r="J1103"/>
    </row>
    <row r="1104" spans="10:10" x14ac:dyDescent="0.2">
      <c r="J1104"/>
    </row>
    <row r="1105" spans="10:10" x14ac:dyDescent="0.2">
      <c r="J1105"/>
    </row>
    <row r="1106" spans="10:10" x14ac:dyDescent="0.2">
      <c r="J1106"/>
    </row>
    <row r="1107" spans="10:10" x14ac:dyDescent="0.2">
      <c r="J1107"/>
    </row>
    <row r="1108" spans="10:10" x14ac:dyDescent="0.2">
      <c r="J1108"/>
    </row>
    <row r="1109" spans="10:10" x14ac:dyDescent="0.2">
      <c r="J1109"/>
    </row>
    <row r="1110" spans="10:10" x14ac:dyDescent="0.2">
      <c r="J1110"/>
    </row>
    <row r="1111" spans="10:10" x14ac:dyDescent="0.2">
      <c r="J1111"/>
    </row>
    <row r="1112" spans="10:10" x14ac:dyDescent="0.2">
      <c r="J1112"/>
    </row>
    <row r="1113" spans="10:10" x14ac:dyDescent="0.2">
      <c r="J1113"/>
    </row>
    <row r="1114" spans="10:10" x14ac:dyDescent="0.2">
      <c r="J1114"/>
    </row>
    <row r="1115" spans="10:10" x14ac:dyDescent="0.2">
      <c r="J1115"/>
    </row>
    <row r="1116" spans="10:10" x14ac:dyDescent="0.2">
      <c r="J1116"/>
    </row>
    <row r="1117" spans="10:10" x14ac:dyDescent="0.2">
      <c r="J1117"/>
    </row>
    <row r="1118" spans="10:10" x14ac:dyDescent="0.2">
      <c r="J1118"/>
    </row>
    <row r="1119" spans="10:10" x14ac:dyDescent="0.2">
      <c r="J1119"/>
    </row>
    <row r="1120" spans="10:10" x14ac:dyDescent="0.2">
      <c r="J1120"/>
    </row>
    <row r="1121" spans="10:10" x14ac:dyDescent="0.2">
      <c r="J1121"/>
    </row>
    <row r="1122" spans="10:10" x14ac:dyDescent="0.2">
      <c r="J1122"/>
    </row>
    <row r="1123" spans="10:10" x14ac:dyDescent="0.2">
      <c r="J1123"/>
    </row>
    <row r="1124" spans="10:10" x14ac:dyDescent="0.2">
      <c r="J1124"/>
    </row>
    <row r="1125" spans="10:10" x14ac:dyDescent="0.2">
      <c r="J1125"/>
    </row>
    <row r="1126" spans="10:10" x14ac:dyDescent="0.2">
      <c r="J1126"/>
    </row>
    <row r="1127" spans="10:10" x14ac:dyDescent="0.2">
      <c r="J1127"/>
    </row>
    <row r="1128" spans="10:10" x14ac:dyDescent="0.2">
      <c r="J1128"/>
    </row>
    <row r="1129" spans="10:10" x14ac:dyDescent="0.2">
      <c r="J1129"/>
    </row>
    <row r="1130" spans="10:10" x14ac:dyDescent="0.2">
      <c r="J1130"/>
    </row>
    <row r="1131" spans="10:10" x14ac:dyDescent="0.2">
      <c r="J1131"/>
    </row>
    <row r="1132" spans="10:10" x14ac:dyDescent="0.2">
      <c r="J1132"/>
    </row>
    <row r="1133" spans="10:10" x14ac:dyDescent="0.2">
      <c r="J1133"/>
    </row>
    <row r="1134" spans="10:10" x14ac:dyDescent="0.2">
      <c r="J1134"/>
    </row>
    <row r="1135" spans="10:10" x14ac:dyDescent="0.2">
      <c r="J1135"/>
    </row>
    <row r="1136" spans="10:10" x14ac:dyDescent="0.2">
      <c r="J1136"/>
    </row>
    <row r="1137" spans="10:10" x14ac:dyDescent="0.2">
      <c r="J1137"/>
    </row>
    <row r="1138" spans="10:10" x14ac:dyDescent="0.2">
      <c r="J1138"/>
    </row>
    <row r="1139" spans="10:10" x14ac:dyDescent="0.2">
      <c r="J1139"/>
    </row>
    <row r="1140" spans="10:10" x14ac:dyDescent="0.2">
      <c r="J1140"/>
    </row>
    <row r="1141" spans="10:10" x14ac:dyDescent="0.2">
      <c r="J1141"/>
    </row>
    <row r="1142" spans="10:10" x14ac:dyDescent="0.2">
      <c r="J1142"/>
    </row>
    <row r="1143" spans="10:10" x14ac:dyDescent="0.2">
      <c r="J1143"/>
    </row>
    <row r="1144" spans="10:10" x14ac:dyDescent="0.2">
      <c r="J1144"/>
    </row>
    <row r="1145" spans="10:10" x14ac:dyDescent="0.2">
      <c r="J1145"/>
    </row>
    <row r="1146" spans="10:10" x14ac:dyDescent="0.2">
      <c r="J1146"/>
    </row>
    <row r="1147" spans="10:10" x14ac:dyDescent="0.2">
      <c r="J1147"/>
    </row>
    <row r="1148" spans="10:10" x14ac:dyDescent="0.2">
      <c r="J1148"/>
    </row>
    <row r="1149" spans="10:10" x14ac:dyDescent="0.2">
      <c r="J1149"/>
    </row>
    <row r="1150" spans="10:10" x14ac:dyDescent="0.2">
      <c r="J1150"/>
    </row>
    <row r="1151" spans="10:10" x14ac:dyDescent="0.2">
      <c r="J1151"/>
    </row>
    <row r="1152" spans="10:10" x14ac:dyDescent="0.2">
      <c r="J1152"/>
    </row>
    <row r="1153" spans="10:10" x14ac:dyDescent="0.2">
      <c r="J1153"/>
    </row>
    <row r="1154" spans="10:10" x14ac:dyDescent="0.2">
      <c r="J1154"/>
    </row>
    <row r="1155" spans="10:10" x14ac:dyDescent="0.2">
      <c r="J1155"/>
    </row>
    <row r="1156" spans="10:10" x14ac:dyDescent="0.2">
      <c r="J1156"/>
    </row>
    <row r="1157" spans="10:10" x14ac:dyDescent="0.2">
      <c r="J1157"/>
    </row>
    <row r="1158" spans="10:10" x14ac:dyDescent="0.2">
      <c r="J1158"/>
    </row>
    <row r="1159" spans="10:10" x14ac:dyDescent="0.2">
      <c r="J1159"/>
    </row>
    <row r="1160" spans="10:10" x14ac:dyDescent="0.2">
      <c r="J1160"/>
    </row>
    <row r="1161" spans="10:10" x14ac:dyDescent="0.2">
      <c r="J1161"/>
    </row>
    <row r="1162" spans="10:10" x14ac:dyDescent="0.2">
      <c r="J1162"/>
    </row>
    <row r="1163" spans="10:10" x14ac:dyDescent="0.2">
      <c r="J1163"/>
    </row>
    <row r="1164" spans="10:10" x14ac:dyDescent="0.2">
      <c r="J1164"/>
    </row>
    <row r="1165" spans="10:10" x14ac:dyDescent="0.2">
      <c r="J1165"/>
    </row>
    <row r="1166" spans="10:10" x14ac:dyDescent="0.2">
      <c r="J1166"/>
    </row>
    <row r="1167" spans="10:10" x14ac:dyDescent="0.2">
      <c r="J1167"/>
    </row>
    <row r="1168" spans="10:10" x14ac:dyDescent="0.2">
      <c r="J1168"/>
    </row>
    <row r="1169" spans="10:10" x14ac:dyDescent="0.2">
      <c r="J1169"/>
    </row>
    <row r="1170" spans="10:10" x14ac:dyDescent="0.2">
      <c r="J1170"/>
    </row>
    <row r="1171" spans="10:10" x14ac:dyDescent="0.2">
      <c r="J1171"/>
    </row>
    <row r="1172" spans="10:10" x14ac:dyDescent="0.2">
      <c r="J1172"/>
    </row>
    <row r="1173" spans="10:10" x14ac:dyDescent="0.2">
      <c r="J1173"/>
    </row>
    <row r="1174" spans="10:10" x14ac:dyDescent="0.2">
      <c r="J1174"/>
    </row>
    <row r="1175" spans="10:10" x14ac:dyDescent="0.2">
      <c r="J1175"/>
    </row>
    <row r="1176" spans="10:10" x14ac:dyDescent="0.2">
      <c r="J1176"/>
    </row>
    <row r="1177" spans="10:10" x14ac:dyDescent="0.2">
      <c r="J1177"/>
    </row>
    <row r="1178" spans="10:10" x14ac:dyDescent="0.2">
      <c r="J1178"/>
    </row>
    <row r="1179" spans="10:10" x14ac:dyDescent="0.2">
      <c r="J1179"/>
    </row>
    <row r="1180" spans="10:10" x14ac:dyDescent="0.2">
      <c r="J1180"/>
    </row>
    <row r="1181" spans="10:10" x14ac:dyDescent="0.2">
      <c r="J1181"/>
    </row>
    <row r="1182" spans="10:10" x14ac:dyDescent="0.2">
      <c r="J1182"/>
    </row>
    <row r="1183" spans="10:10" x14ac:dyDescent="0.2">
      <c r="J1183"/>
    </row>
    <row r="1184" spans="10:10" x14ac:dyDescent="0.2">
      <c r="J1184"/>
    </row>
    <row r="1185" spans="10:10" x14ac:dyDescent="0.2">
      <c r="J1185"/>
    </row>
    <row r="1186" spans="10:10" x14ac:dyDescent="0.2">
      <c r="J1186"/>
    </row>
    <row r="1187" spans="10:10" x14ac:dyDescent="0.2">
      <c r="J1187"/>
    </row>
    <row r="1188" spans="10:10" x14ac:dyDescent="0.2">
      <c r="J1188"/>
    </row>
    <row r="1189" spans="10:10" x14ac:dyDescent="0.2">
      <c r="J1189"/>
    </row>
    <row r="1190" spans="10:10" x14ac:dyDescent="0.2">
      <c r="J1190"/>
    </row>
    <row r="1191" spans="10:10" x14ac:dyDescent="0.2">
      <c r="J1191"/>
    </row>
    <row r="1192" spans="10:10" x14ac:dyDescent="0.2">
      <c r="J1192"/>
    </row>
    <row r="1193" spans="10:10" x14ac:dyDescent="0.2">
      <c r="J1193"/>
    </row>
    <row r="1194" spans="10:10" x14ac:dyDescent="0.2">
      <c r="J1194"/>
    </row>
    <row r="1195" spans="10:10" x14ac:dyDescent="0.2">
      <c r="J1195"/>
    </row>
    <row r="1196" spans="10:10" x14ac:dyDescent="0.2">
      <c r="J1196"/>
    </row>
    <row r="1197" spans="10:10" x14ac:dyDescent="0.2">
      <c r="J1197"/>
    </row>
    <row r="1198" spans="10:10" x14ac:dyDescent="0.2">
      <c r="J1198"/>
    </row>
    <row r="1199" spans="10:10" x14ac:dyDescent="0.2">
      <c r="J1199"/>
    </row>
    <row r="1200" spans="10:10" x14ac:dyDescent="0.2">
      <c r="J1200"/>
    </row>
    <row r="1201" spans="10:10" x14ac:dyDescent="0.2">
      <c r="J1201"/>
    </row>
    <row r="1202" spans="10:10" x14ac:dyDescent="0.2">
      <c r="J1202"/>
    </row>
    <row r="1203" spans="10:10" x14ac:dyDescent="0.2">
      <c r="J1203"/>
    </row>
    <row r="1204" spans="10:10" x14ac:dyDescent="0.2">
      <c r="J1204"/>
    </row>
    <row r="1205" spans="10:10" x14ac:dyDescent="0.2">
      <c r="J1205"/>
    </row>
    <row r="1206" spans="10:10" x14ac:dyDescent="0.2">
      <c r="J1206"/>
    </row>
    <row r="1207" spans="10:10" x14ac:dyDescent="0.2">
      <c r="J1207"/>
    </row>
    <row r="1208" spans="10:10" x14ac:dyDescent="0.2">
      <c r="J1208"/>
    </row>
    <row r="1209" spans="10:10" x14ac:dyDescent="0.2">
      <c r="J1209"/>
    </row>
    <row r="1210" spans="10:10" x14ac:dyDescent="0.2">
      <c r="J1210"/>
    </row>
    <row r="1211" spans="10:10" x14ac:dyDescent="0.2">
      <c r="J1211"/>
    </row>
    <row r="1212" spans="10:10" x14ac:dyDescent="0.2">
      <c r="J1212"/>
    </row>
    <row r="1213" spans="10:10" x14ac:dyDescent="0.2">
      <c r="J1213"/>
    </row>
    <row r="1214" spans="10:10" x14ac:dyDescent="0.2">
      <c r="J1214"/>
    </row>
    <row r="1215" spans="10:10" x14ac:dyDescent="0.2">
      <c r="J1215"/>
    </row>
    <row r="1216" spans="10:10" x14ac:dyDescent="0.2">
      <c r="J1216"/>
    </row>
    <row r="1217" spans="10:10" x14ac:dyDescent="0.2">
      <c r="J1217"/>
    </row>
    <row r="1218" spans="10:10" x14ac:dyDescent="0.2">
      <c r="J1218"/>
    </row>
    <row r="1219" spans="10:10" x14ac:dyDescent="0.2">
      <c r="J1219"/>
    </row>
    <row r="1220" spans="10:10" x14ac:dyDescent="0.2">
      <c r="J1220"/>
    </row>
    <row r="1221" spans="10:10" x14ac:dyDescent="0.2">
      <c r="J1221"/>
    </row>
    <row r="1222" spans="10:10" x14ac:dyDescent="0.2">
      <c r="J1222"/>
    </row>
    <row r="1223" spans="10:10" x14ac:dyDescent="0.2">
      <c r="J1223"/>
    </row>
    <row r="1224" spans="10:10" x14ac:dyDescent="0.2">
      <c r="J1224"/>
    </row>
    <row r="1225" spans="10:10" x14ac:dyDescent="0.2">
      <c r="J1225"/>
    </row>
    <row r="1226" spans="10:10" x14ac:dyDescent="0.2">
      <c r="J1226"/>
    </row>
    <row r="1227" spans="10:10" x14ac:dyDescent="0.2">
      <c r="J1227"/>
    </row>
    <row r="1228" spans="10:10" x14ac:dyDescent="0.2">
      <c r="J1228"/>
    </row>
    <row r="1229" spans="10:10" x14ac:dyDescent="0.2">
      <c r="J1229"/>
    </row>
    <row r="1230" spans="10:10" x14ac:dyDescent="0.2">
      <c r="J1230"/>
    </row>
    <row r="1231" spans="10:10" x14ac:dyDescent="0.2">
      <c r="J1231"/>
    </row>
    <row r="1232" spans="10:10" x14ac:dyDescent="0.2">
      <c r="J1232"/>
    </row>
    <row r="1233" spans="10:10" x14ac:dyDescent="0.2">
      <c r="J1233"/>
    </row>
    <row r="1234" spans="10:10" x14ac:dyDescent="0.2">
      <c r="J1234"/>
    </row>
    <row r="1235" spans="10:10" x14ac:dyDescent="0.2">
      <c r="J1235"/>
    </row>
    <row r="1236" spans="10:10" x14ac:dyDescent="0.2">
      <c r="J1236"/>
    </row>
    <row r="1237" spans="10:10" x14ac:dyDescent="0.2">
      <c r="J1237"/>
    </row>
    <row r="1238" spans="10:10" x14ac:dyDescent="0.2">
      <c r="J1238"/>
    </row>
    <row r="1239" spans="10:10" x14ac:dyDescent="0.2">
      <c r="J1239"/>
    </row>
    <row r="1240" spans="10:10" x14ac:dyDescent="0.2">
      <c r="J1240"/>
    </row>
    <row r="1241" spans="10:10" x14ac:dyDescent="0.2">
      <c r="J1241"/>
    </row>
    <row r="1242" spans="10:10" x14ac:dyDescent="0.2">
      <c r="J1242"/>
    </row>
    <row r="1243" spans="10:10" x14ac:dyDescent="0.2">
      <c r="J1243"/>
    </row>
    <row r="1244" spans="10:10" x14ac:dyDescent="0.2">
      <c r="J1244"/>
    </row>
    <row r="1245" spans="10:10" x14ac:dyDescent="0.2">
      <c r="J1245"/>
    </row>
    <row r="1246" spans="10:10" x14ac:dyDescent="0.2">
      <c r="J1246"/>
    </row>
    <row r="1247" spans="10:10" x14ac:dyDescent="0.2">
      <c r="J1247"/>
    </row>
    <row r="1248" spans="10:10" x14ac:dyDescent="0.2">
      <c r="J1248"/>
    </row>
    <row r="1249" spans="10:10" x14ac:dyDescent="0.2">
      <c r="J1249"/>
    </row>
    <row r="1250" spans="10:10" x14ac:dyDescent="0.2">
      <c r="J1250"/>
    </row>
    <row r="1251" spans="10:10" x14ac:dyDescent="0.2">
      <c r="J1251"/>
    </row>
    <row r="1252" spans="10:10" x14ac:dyDescent="0.2">
      <c r="J1252"/>
    </row>
    <row r="1253" spans="10:10" x14ac:dyDescent="0.2">
      <c r="J1253"/>
    </row>
    <row r="1254" spans="10:10" x14ac:dyDescent="0.2">
      <c r="J1254"/>
    </row>
    <row r="1255" spans="10:10" x14ac:dyDescent="0.2">
      <c r="J1255"/>
    </row>
    <row r="1256" spans="10:10" x14ac:dyDescent="0.2">
      <c r="J1256"/>
    </row>
    <row r="1257" spans="10:10" x14ac:dyDescent="0.2">
      <c r="J1257"/>
    </row>
    <row r="1258" spans="10:10" x14ac:dyDescent="0.2">
      <c r="J1258"/>
    </row>
    <row r="1259" spans="10:10" x14ac:dyDescent="0.2">
      <c r="J1259"/>
    </row>
    <row r="1260" spans="10:10" x14ac:dyDescent="0.2">
      <c r="J1260"/>
    </row>
    <row r="1261" spans="10:10" x14ac:dyDescent="0.2">
      <c r="J1261"/>
    </row>
    <row r="1262" spans="10:10" x14ac:dyDescent="0.2">
      <c r="J1262"/>
    </row>
    <row r="1263" spans="10:10" x14ac:dyDescent="0.2">
      <c r="J1263"/>
    </row>
    <row r="1264" spans="10:10" x14ac:dyDescent="0.2">
      <c r="J1264"/>
    </row>
    <row r="1265" spans="10:10" x14ac:dyDescent="0.2">
      <c r="J1265"/>
    </row>
    <row r="1266" spans="10:10" x14ac:dyDescent="0.2">
      <c r="J1266"/>
    </row>
    <row r="1267" spans="10:10" x14ac:dyDescent="0.2">
      <c r="J1267"/>
    </row>
    <row r="1268" spans="10:10" x14ac:dyDescent="0.2">
      <c r="J1268"/>
    </row>
    <row r="1269" spans="10:10" x14ac:dyDescent="0.2">
      <c r="J1269"/>
    </row>
    <row r="1270" spans="10:10" x14ac:dyDescent="0.2">
      <c r="J1270"/>
    </row>
    <row r="1271" spans="10:10" x14ac:dyDescent="0.2">
      <c r="J1271"/>
    </row>
    <row r="1272" spans="10:10" x14ac:dyDescent="0.2">
      <c r="J1272"/>
    </row>
    <row r="1273" spans="10:10" x14ac:dyDescent="0.2">
      <c r="J1273"/>
    </row>
    <row r="1274" spans="10:10" x14ac:dyDescent="0.2">
      <c r="J1274"/>
    </row>
    <row r="1275" spans="10:10" x14ac:dyDescent="0.2">
      <c r="J1275"/>
    </row>
    <row r="1276" spans="10:10" x14ac:dyDescent="0.2">
      <c r="J1276"/>
    </row>
    <row r="1277" spans="10:10" x14ac:dyDescent="0.2">
      <c r="J1277"/>
    </row>
    <row r="1278" spans="10:10" x14ac:dyDescent="0.2">
      <c r="J1278"/>
    </row>
    <row r="1279" spans="10:10" x14ac:dyDescent="0.2">
      <c r="J1279"/>
    </row>
    <row r="1280" spans="10:10" x14ac:dyDescent="0.2">
      <c r="J1280"/>
    </row>
    <row r="1281" spans="10:10" x14ac:dyDescent="0.2">
      <c r="J1281"/>
    </row>
    <row r="1282" spans="10:10" x14ac:dyDescent="0.2">
      <c r="J1282"/>
    </row>
    <row r="1283" spans="10:10" x14ac:dyDescent="0.2">
      <c r="J1283"/>
    </row>
    <row r="1284" spans="10:10" x14ac:dyDescent="0.2">
      <c r="J1284"/>
    </row>
    <row r="1285" spans="10:10" x14ac:dyDescent="0.2">
      <c r="J1285"/>
    </row>
    <row r="1286" spans="10:10" x14ac:dyDescent="0.2">
      <c r="J1286"/>
    </row>
    <row r="1287" spans="10:10" x14ac:dyDescent="0.2">
      <c r="J1287"/>
    </row>
    <row r="1288" spans="10:10" x14ac:dyDescent="0.2">
      <c r="J1288"/>
    </row>
    <row r="1289" spans="10:10" x14ac:dyDescent="0.2">
      <c r="J1289"/>
    </row>
    <row r="1290" spans="10:10" x14ac:dyDescent="0.2">
      <c r="J1290"/>
    </row>
    <row r="1291" spans="10:10" x14ac:dyDescent="0.2">
      <c r="J1291"/>
    </row>
    <row r="1292" spans="10:10" x14ac:dyDescent="0.2">
      <c r="J1292"/>
    </row>
    <row r="1293" spans="10:10" x14ac:dyDescent="0.2">
      <c r="J1293"/>
    </row>
    <row r="1294" spans="10:10" x14ac:dyDescent="0.2">
      <c r="J1294"/>
    </row>
    <row r="1295" spans="10:10" x14ac:dyDescent="0.2">
      <c r="J1295"/>
    </row>
    <row r="1296" spans="10:10" x14ac:dyDescent="0.2">
      <c r="J1296"/>
    </row>
    <row r="1297" spans="10:10" x14ac:dyDescent="0.2">
      <c r="J1297"/>
    </row>
    <row r="1298" spans="10:10" x14ac:dyDescent="0.2">
      <c r="J1298"/>
    </row>
    <row r="1299" spans="10:10" x14ac:dyDescent="0.2">
      <c r="J1299"/>
    </row>
    <row r="1300" spans="10:10" x14ac:dyDescent="0.2">
      <c r="J1300"/>
    </row>
    <row r="1301" spans="10:10" x14ac:dyDescent="0.2">
      <c r="J1301"/>
    </row>
    <row r="1302" spans="10:10" x14ac:dyDescent="0.2">
      <c r="J1302"/>
    </row>
    <row r="1303" spans="10:10" x14ac:dyDescent="0.2">
      <c r="J1303"/>
    </row>
    <row r="1304" spans="10:10" x14ac:dyDescent="0.2">
      <c r="J1304"/>
    </row>
    <row r="1305" spans="10:10" x14ac:dyDescent="0.2">
      <c r="J1305"/>
    </row>
    <row r="1306" spans="10:10" x14ac:dyDescent="0.2">
      <c r="J1306"/>
    </row>
    <row r="1307" spans="10:10" x14ac:dyDescent="0.2">
      <c r="J1307"/>
    </row>
    <row r="1308" spans="10:10" x14ac:dyDescent="0.2">
      <c r="J1308"/>
    </row>
    <row r="1309" spans="10:10" x14ac:dyDescent="0.2">
      <c r="J1309"/>
    </row>
    <row r="1310" spans="10:10" x14ac:dyDescent="0.2">
      <c r="J1310"/>
    </row>
    <row r="1311" spans="10:10" x14ac:dyDescent="0.2">
      <c r="J1311"/>
    </row>
    <row r="1312" spans="10:10" x14ac:dyDescent="0.2">
      <c r="J1312"/>
    </row>
    <row r="1313" spans="10:10" x14ac:dyDescent="0.2">
      <c r="J1313"/>
    </row>
    <row r="1314" spans="10:10" x14ac:dyDescent="0.2">
      <c r="J1314"/>
    </row>
    <row r="1315" spans="10:10" x14ac:dyDescent="0.2">
      <c r="J1315"/>
    </row>
    <row r="1316" spans="10:10" x14ac:dyDescent="0.2">
      <c r="J1316"/>
    </row>
    <row r="1317" spans="10:10" x14ac:dyDescent="0.2">
      <c r="J1317"/>
    </row>
    <row r="1318" spans="10:10" x14ac:dyDescent="0.2">
      <c r="J1318"/>
    </row>
    <row r="1319" spans="10:10" x14ac:dyDescent="0.2">
      <c r="J1319"/>
    </row>
    <row r="1320" spans="10:10" x14ac:dyDescent="0.2">
      <c r="J1320"/>
    </row>
    <row r="1321" spans="10:10" x14ac:dyDescent="0.2">
      <c r="J1321"/>
    </row>
    <row r="1322" spans="10:10" x14ac:dyDescent="0.2">
      <c r="J1322"/>
    </row>
    <row r="1323" spans="10:10" x14ac:dyDescent="0.2">
      <c r="J1323"/>
    </row>
    <row r="1324" spans="10:10" x14ac:dyDescent="0.2">
      <c r="J1324"/>
    </row>
    <row r="1325" spans="10:10" x14ac:dyDescent="0.2">
      <c r="J1325"/>
    </row>
    <row r="1326" spans="10:10" x14ac:dyDescent="0.2">
      <c r="J1326"/>
    </row>
    <row r="1327" spans="10:10" x14ac:dyDescent="0.2">
      <c r="J1327"/>
    </row>
    <row r="1328" spans="10:10" x14ac:dyDescent="0.2">
      <c r="J1328"/>
    </row>
    <row r="1329" spans="10:10" x14ac:dyDescent="0.2">
      <c r="J1329"/>
    </row>
    <row r="1330" spans="10:10" x14ac:dyDescent="0.2">
      <c r="J1330"/>
    </row>
    <row r="1331" spans="10:10" x14ac:dyDescent="0.2">
      <c r="J1331"/>
    </row>
    <row r="1332" spans="10:10" x14ac:dyDescent="0.2">
      <c r="J1332"/>
    </row>
    <row r="1333" spans="10:10" x14ac:dyDescent="0.2">
      <c r="J1333"/>
    </row>
    <row r="1334" spans="10:10" x14ac:dyDescent="0.2">
      <c r="J1334"/>
    </row>
    <row r="1335" spans="10:10" x14ac:dyDescent="0.2">
      <c r="J1335"/>
    </row>
    <row r="1336" spans="10:10" x14ac:dyDescent="0.2">
      <c r="J1336"/>
    </row>
    <row r="1337" spans="10:10" x14ac:dyDescent="0.2">
      <c r="J1337"/>
    </row>
    <row r="1338" spans="10:10" x14ac:dyDescent="0.2">
      <c r="J1338"/>
    </row>
    <row r="1339" spans="10:10" x14ac:dyDescent="0.2">
      <c r="J1339"/>
    </row>
    <row r="1340" spans="10:10" x14ac:dyDescent="0.2">
      <c r="J1340"/>
    </row>
    <row r="1341" spans="10:10" x14ac:dyDescent="0.2">
      <c r="J1341"/>
    </row>
    <row r="1342" spans="10:10" x14ac:dyDescent="0.2">
      <c r="J1342"/>
    </row>
    <row r="1343" spans="10:10" x14ac:dyDescent="0.2">
      <c r="J1343"/>
    </row>
    <row r="1344" spans="10:10" x14ac:dyDescent="0.2">
      <c r="J1344"/>
    </row>
    <row r="1345" spans="10:10" x14ac:dyDescent="0.2">
      <c r="J1345"/>
    </row>
    <row r="1346" spans="10:10" x14ac:dyDescent="0.2">
      <c r="J1346"/>
    </row>
    <row r="1347" spans="10:10" x14ac:dyDescent="0.2">
      <c r="J1347"/>
    </row>
    <row r="1348" spans="10:10" x14ac:dyDescent="0.2">
      <c r="J1348"/>
    </row>
    <row r="1349" spans="10:10" x14ac:dyDescent="0.2">
      <c r="J1349"/>
    </row>
    <row r="1350" spans="10:10" x14ac:dyDescent="0.2">
      <c r="J1350"/>
    </row>
    <row r="1351" spans="10:10" x14ac:dyDescent="0.2">
      <c r="J1351"/>
    </row>
    <row r="1352" spans="10:10" x14ac:dyDescent="0.2">
      <c r="J1352"/>
    </row>
    <row r="1353" spans="10:10" x14ac:dyDescent="0.2">
      <c r="J1353"/>
    </row>
    <row r="1354" spans="10:10" x14ac:dyDescent="0.2">
      <c r="J1354"/>
    </row>
    <row r="1355" spans="10:10" x14ac:dyDescent="0.2">
      <c r="J1355"/>
    </row>
    <row r="1356" spans="10:10" x14ac:dyDescent="0.2">
      <c r="J1356"/>
    </row>
    <row r="1357" spans="10:10" x14ac:dyDescent="0.2">
      <c r="J1357"/>
    </row>
    <row r="1358" spans="10:10" x14ac:dyDescent="0.2">
      <c r="J1358"/>
    </row>
    <row r="1359" spans="10:10" x14ac:dyDescent="0.2">
      <c r="J1359"/>
    </row>
    <row r="1360" spans="10:10" x14ac:dyDescent="0.2">
      <c r="J1360"/>
    </row>
    <row r="1361" spans="10:10" x14ac:dyDescent="0.2">
      <c r="J1361"/>
    </row>
    <row r="1362" spans="10:10" x14ac:dyDescent="0.2">
      <c r="J1362"/>
    </row>
    <row r="1363" spans="10:10" x14ac:dyDescent="0.2">
      <c r="J1363"/>
    </row>
    <row r="1364" spans="10:10" x14ac:dyDescent="0.2">
      <c r="J1364"/>
    </row>
    <row r="1365" spans="10:10" x14ac:dyDescent="0.2">
      <c r="J1365"/>
    </row>
    <row r="1366" spans="10:10" x14ac:dyDescent="0.2">
      <c r="J1366"/>
    </row>
    <row r="1367" spans="10:10" x14ac:dyDescent="0.2">
      <c r="J1367"/>
    </row>
    <row r="1368" spans="10:10" x14ac:dyDescent="0.2">
      <c r="J1368"/>
    </row>
    <row r="1369" spans="10:10" x14ac:dyDescent="0.2">
      <c r="J1369"/>
    </row>
    <row r="1370" spans="10:10" x14ac:dyDescent="0.2">
      <c r="J1370"/>
    </row>
    <row r="1371" spans="10:10" x14ac:dyDescent="0.2">
      <c r="J1371"/>
    </row>
    <row r="1372" spans="10:10" x14ac:dyDescent="0.2">
      <c r="J1372"/>
    </row>
    <row r="1373" spans="10:10" x14ac:dyDescent="0.2">
      <c r="J1373"/>
    </row>
    <row r="1374" spans="10:10" x14ac:dyDescent="0.2">
      <c r="J1374"/>
    </row>
    <row r="1375" spans="10:10" x14ac:dyDescent="0.2">
      <c r="J1375"/>
    </row>
    <row r="1376" spans="10:10" x14ac:dyDescent="0.2">
      <c r="J1376"/>
    </row>
    <row r="1377" spans="10:10" x14ac:dyDescent="0.2">
      <c r="J1377"/>
    </row>
    <row r="1378" spans="10:10" x14ac:dyDescent="0.2">
      <c r="J1378"/>
    </row>
    <row r="1379" spans="10:10" x14ac:dyDescent="0.2">
      <c r="J1379"/>
    </row>
    <row r="1380" spans="10:10" x14ac:dyDescent="0.2">
      <c r="J1380"/>
    </row>
    <row r="1381" spans="10:10" x14ac:dyDescent="0.2">
      <c r="J1381"/>
    </row>
    <row r="1382" spans="10:10" x14ac:dyDescent="0.2">
      <c r="J1382"/>
    </row>
    <row r="1383" spans="10:10" x14ac:dyDescent="0.2">
      <c r="J1383"/>
    </row>
    <row r="1384" spans="10:10" x14ac:dyDescent="0.2">
      <c r="J1384"/>
    </row>
    <row r="1385" spans="10:10" x14ac:dyDescent="0.2">
      <c r="J1385"/>
    </row>
    <row r="1386" spans="10:10" x14ac:dyDescent="0.2">
      <c r="J1386"/>
    </row>
    <row r="1387" spans="10:10" x14ac:dyDescent="0.2">
      <c r="J1387"/>
    </row>
    <row r="1388" spans="10:10" x14ac:dyDescent="0.2">
      <c r="J1388"/>
    </row>
    <row r="1389" spans="10:10" x14ac:dyDescent="0.2">
      <c r="J1389"/>
    </row>
    <row r="1390" spans="10:10" x14ac:dyDescent="0.2">
      <c r="J1390"/>
    </row>
    <row r="1391" spans="10:10" x14ac:dyDescent="0.2">
      <c r="J1391"/>
    </row>
    <row r="1392" spans="10:10" x14ac:dyDescent="0.2">
      <c r="J1392"/>
    </row>
    <row r="1393" spans="10:10" x14ac:dyDescent="0.2">
      <c r="J1393"/>
    </row>
    <row r="1394" spans="10:10" x14ac:dyDescent="0.2">
      <c r="J1394"/>
    </row>
    <row r="1395" spans="10:10" x14ac:dyDescent="0.2">
      <c r="J1395"/>
    </row>
    <row r="1396" spans="10:10" x14ac:dyDescent="0.2">
      <c r="J1396"/>
    </row>
    <row r="1397" spans="10:10" x14ac:dyDescent="0.2">
      <c r="J1397"/>
    </row>
    <row r="1398" spans="10:10" x14ac:dyDescent="0.2">
      <c r="J1398"/>
    </row>
    <row r="1399" spans="10:10" x14ac:dyDescent="0.2">
      <c r="J1399"/>
    </row>
    <row r="1400" spans="10:10" x14ac:dyDescent="0.2">
      <c r="J1400"/>
    </row>
    <row r="1401" spans="10:10" x14ac:dyDescent="0.2">
      <c r="J1401"/>
    </row>
    <row r="1402" spans="10:10" x14ac:dyDescent="0.2">
      <c r="J1402"/>
    </row>
    <row r="1403" spans="10:10" x14ac:dyDescent="0.2">
      <c r="J1403"/>
    </row>
    <row r="1404" spans="10:10" x14ac:dyDescent="0.2">
      <c r="J1404"/>
    </row>
    <row r="1405" spans="10:10" x14ac:dyDescent="0.2">
      <c r="J1405"/>
    </row>
    <row r="1406" spans="10:10" x14ac:dyDescent="0.2">
      <c r="J1406"/>
    </row>
    <row r="1407" spans="10:10" x14ac:dyDescent="0.2">
      <c r="J1407"/>
    </row>
    <row r="1408" spans="10:10" x14ac:dyDescent="0.2">
      <c r="J1408"/>
    </row>
    <row r="1409" spans="10:10" x14ac:dyDescent="0.2">
      <c r="J1409"/>
    </row>
    <row r="1410" spans="10:10" x14ac:dyDescent="0.2">
      <c r="J1410"/>
    </row>
    <row r="1411" spans="10:10" x14ac:dyDescent="0.2">
      <c r="J1411"/>
    </row>
    <row r="1412" spans="10:10" x14ac:dyDescent="0.2">
      <c r="J1412"/>
    </row>
    <row r="1413" spans="10:10" x14ac:dyDescent="0.2">
      <c r="J1413"/>
    </row>
    <row r="1414" spans="10:10" x14ac:dyDescent="0.2">
      <c r="J1414"/>
    </row>
    <row r="1415" spans="10:10" x14ac:dyDescent="0.2">
      <c r="J1415"/>
    </row>
    <row r="1416" spans="10:10" x14ac:dyDescent="0.2">
      <c r="J1416"/>
    </row>
    <row r="1417" spans="10:10" x14ac:dyDescent="0.2">
      <c r="J1417"/>
    </row>
    <row r="1418" spans="10:10" x14ac:dyDescent="0.2">
      <c r="J1418"/>
    </row>
    <row r="1419" spans="10:10" x14ac:dyDescent="0.2">
      <c r="J1419"/>
    </row>
    <row r="1420" spans="10:10" x14ac:dyDescent="0.2">
      <c r="J1420"/>
    </row>
    <row r="1421" spans="10:10" x14ac:dyDescent="0.2">
      <c r="J1421"/>
    </row>
    <row r="1422" spans="10:10" x14ac:dyDescent="0.2">
      <c r="J1422"/>
    </row>
    <row r="1423" spans="10:10" x14ac:dyDescent="0.2">
      <c r="J1423"/>
    </row>
    <row r="1424" spans="10:10" x14ac:dyDescent="0.2">
      <c r="J1424"/>
    </row>
    <row r="1425" spans="10:10" x14ac:dyDescent="0.2">
      <c r="J1425"/>
    </row>
    <row r="1426" spans="10:10" x14ac:dyDescent="0.2">
      <c r="J1426"/>
    </row>
    <row r="1427" spans="10:10" x14ac:dyDescent="0.2">
      <c r="J1427"/>
    </row>
    <row r="1428" spans="10:10" x14ac:dyDescent="0.2">
      <c r="J1428"/>
    </row>
    <row r="1429" spans="10:10" x14ac:dyDescent="0.2">
      <c r="J1429"/>
    </row>
    <row r="1430" spans="10:10" x14ac:dyDescent="0.2">
      <c r="J1430"/>
    </row>
    <row r="1431" spans="10:10" x14ac:dyDescent="0.2">
      <c r="J1431"/>
    </row>
    <row r="1432" spans="10:10" x14ac:dyDescent="0.2">
      <c r="J1432"/>
    </row>
    <row r="1433" spans="10:10" x14ac:dyDescent="0.2">
      <c r="J1433"/>
    </row>
    <row r="1434" spans="10:10" x14ac:dyDescent="0.2">
      <c r="J1434"/>
    </row>
    <row r="1435" spans="10:10" x14ac:dyDescent="0.2">
      <c r="J1435"/>
    </row>
    <row r="1436" spans="10:10" x14ac:dyDescent="0.2">
      <c r="J1436"/>
    </row>
    <row r="1437" spans="10:10" x14ac:dyDescent="0.2">
      <c r="J1437"/>
    </row>
    <row r="1438" spans="10:10" x14ac:dyDescent="0.2">
      <c r="J1438"/>
    </row>
    <row r="1439" spans="10:10" x14ac:dyDescent="0.2">
      <c r="J1439"/>
    </row>
    <row r="1440" spans="10:10" x14ac:dyDescent="0.2">
      <c r="J1440"/>
    </row>
    <row r="1441" spans="10:10" x14ac:dyDescent="0.2">
      <c r="J1441"/>
    </row>
    <row r="1442" spans="10:10" x14ac:dyDescent="0.2">
      <c r="J1442"/>
    </row>
    <row r="1443" spans="10:10" x14ac:dyDescent="0.2">
      <c r="J1443"/>
    </row>
    <row r="1444" spans="10:10" x14ac:dyDescent="0.2">
      <c r="J1444"/>
    </row>
    <row r="1445" spans="10:10" x14ac:dyDescent="0.2">
      <c r="J1445"/>
    </row>
    <row r="1446" spans="10:10" x14ac:dyDescent="0.2">
      <c r="J1446"/>
    </row>
    <row r="1447" spans="10:10" x14ac:dyDescent="0.2">
      <c r="J1447"/>
    </row>
    <row r="1448" spans="10:10" x14ac:dyDescent="0.2">
      <c r="J1448"/>
    </row>
    <row r="1449" spans="10:10" x14ac:dyDescent="0.2">
      <c r="J1449"/>
    </row>
    <row r="1450" spans="10:10" x14ac:dyDescent="0.2">
      <c r="J1450"/>
    </row>
    <row r="1451" spans="10:10" x14ac:dyDescent="0.2">
      <c r="J1451"/>
    </row>
    <row r="1452" spans="10:10" x14ac:dyDescent="0.2">
      <c r="J1452"/>
    </row>
    <row r="1453" spans="10:10" x14ac:dyDescent="0.2">
      <c r="J1453"/>
    </row>
    <row r="1454" spans="10:10" x14ac:dyDescent="0.2">
      <c r="J1454"/>
    </row>
    <row r="1455" spans="10:10" x14ac:dyDescent="0.2">
      <c r="J1455"/>
    </row>
    <row r="1456" spans="10:10" x14ac:dyDescent="0.2">
      <c r="J1456"/>
    </row>
    <row r="1457" spans="10:10" x14ac:dyDescent="0.2">
      <c r="J1457"/>
    </row>
    <row r="1458" spans="10:10" x14ac:dyDescent="0.2">
      <c r="J1458"/>
    </row>
    <row r="1459" spans="10:10" x14ac:dyDescent="0.2">
      <c r="J1459"/>
    </row>
    <row r="1460" spans="10:10" x14ac:dyDescent="0.2">
      <c r="J1460"/>
    </row>
    <row r="1461" spans="10:10" x14ac:dyDescent="0.2">
      <c r="J1461"/>
    </row>
    <row r="1462" spans="10:10" x14ac:dyDescent="0.2">
      <c r="J1462"/>
    </row>
    <row r="1463" spans="10:10" x14ac:dyDescent="0.2">
      <c r="J1463"/>
    </row>
    <row r="1464" spans="10:10" x14ac:dyDescent="0.2">
      <c r="J1464"/>
    </row>
    <row r="1465" spans="10:10" x14ac:dyDescent="0.2">
      <c r="J1465"/>
    </row>
    <row r="1466" spans="10:10" x14ac:dyDescent="0.2">
      <c r="J1466"/>
    </row>
    <row r="1467" spans="10:10" x14ac:dyDescent="0.2">
      <c r="J1467"/>
    </row>
    <row r="1468" spans="10:10" x14ac:dyDescent="0.2">
      <c r="J1468"/>
    </row>
    <row r="1469" spans="10:10" x14ac:dyDescent="0.2">
      <c r="J1469"/>
    </row>
    <row r="1470" spans="10:10" x14ac:dyDescent="0.2">
      <c r="J1470"/>
    </row>
    <row r="1471" spans="10:10" x14ac:dyDescent="0.2">
      <c r="J1471"/>
    </row>
    <row r="1472" spans="10:10" x14ac:dyDescent="0.2">
      <c r="J1472"/>
    </row>
    <row r="1473" spans="10:10" x14ac:dyDescent="0.2">
      <c r="J1473"/>
    </row>
    <row r="1474" spans="10:10" x14ac:dyDescent="0.2">
      <c r="J1474"/>
    </row>
    <row r="1475" spans="10:10" x14ac:dyDescent="0.2">
      <c r="J1475"/>
    </row>
    <row r="1476" spans="10:10" x14ac:dyDescent="0.2">
      <c r="J1476"/>
    </row>
    <row r="1477" spans="10:10" x14ac:dyDescent="0.2">
      <c r="J1477"/>
    </row>
    <row r="1478" spans="10:10" x14ac:dyDescent="0.2">
      <c r="J1478"/>
    </row>
    <row r="1479" spans="10:10" x14ac:dyDescent="0.2">
      <c r="J1479"/>
    </row>
    <row r="1480" spans="10:10" x14ac:dyDescent="0.2">
      <c r="J1480"/>
    </row>
    <row r="1481" spans="10:10" x14ac:dyDescent="0.2">
      <c r="J1481"/>
    </row>
    <row r="1482" spans="10:10" x14ac:dyDescent="0.2">
      <c r="J1482"/>
    </row>
    <row r="1483" spans="10:10" x14ac:dyDescent="0.2">
      <c r="J1483"/>
    </row>
    <row r="1484" spans="10:10" x14ac:dyDescent="0.2">
      <c r="J1484"/>
    </row>
    <row r="1485" spans="10:10" x14ac:dyDescent="0.2">
      <c r="J1485"/>
    </row>
    <row r="1486" spans="10:10" x14ac:dyDescent="0.2">
      <c r="J1486"/>
    </row>
    <row r="1487" spans="10:10" x14ac:dyDescent="0.2">
      <c r="J1487"/>
    </row>
    <row r="1488" spans="10:10" x14ac:dyDescent="0.2">
      <c r="J1488"/>
    </row>
    <row r="1489" spans="10:10" x14ac:dyDescent="0.2">
      <c r="J1489"/>
    </row>
    <row r="1490" spans="10:10" x14ac:dyDescent="0.2">
      <c r="J1490"/>
    </row>
    <row r="1491" spans="10:10" x14ac:dyDescent="0.2">
      <c r="J1491"/>
    </row>
    <row r="1492" spans="10:10" x14ac:dyDescent="0.2">
      <c r="J1492"/>
    </row>
    <row r="1493" spans="10:10" x14ac:dyDescent="0.2">
      <c r="J1493"/>
    </row>
    <row r="1494" spans="10:10" x14ac:dyDescent="0.2">
      <c r="J1494"/>
    </row>
    <row r="1495" spans="10:10" x14ac:dyDescent="0.2">
      <c r="J1495"/>
    </row>
    <row r="1496" spans="10:10" x14ac:dyDescent="0.2">
      <c r="J1496"/>
    </row>
    <row r="1497" spans="10:10" x14ac:dyDescent="0.2">
      <c r="J1497"/>
    </row>
    <row r="1498" spans="10:10" x14ac:dyDescent="0.2">
      <c r="J1498"/>
    </row>
    <row r="1499" spans="10:10" x14ac:dyDescent="0.2">
      <c r="J1499"/>
    </row>
    <row r="1500" spans="10:10" x14ac:dyDescent="0.2">
      <c r="J1500"/>
    </row>
    <row r="1501" spans="10:10" x14ac:dyDescent="0.2">
      <c r="J1501"/>
    </row>
    <row r="1502" spans="10:10" x14ac:dyDescent="0.2">
      <c r="J1502"/>
    </row>
    <row r="1503" spans="10:10" x14ac:dyDescent="0.2">
      <c r="J1503"/>
    </row>
    <row r="1504" spans="10:10" x14ac:dyDescent="0.2">
      <c r="J1504"/>
    </row>
    <row r="1505" spans="10:10" x14ac:dyDescent="0.2">
      <c r="J1505"/>
    </row>
    <row r="1506" spans="10:10" x14ac:dyDescent="0.2">
      <c r="J1506"/>
    </row>
    <row r="1507" spans="10:10" x14ac:dyDescent="0.2">
      <c r="J1507"/>
    </row>
    <row r="1508" spans="10:10" x14ac:dyDescent="0.2">
      <c r="J1508"/>
    </row>
    <row r="1509" spans="10:10" x14ac:dyDescent="0.2">
      <c r="J1509"/>
    </row>
    <row r="1510" spans="10:10" x14ac:dyDescent="0.2">
      <c r="J1510"/>
    </row>
    <row r="1511" spans="10:10" x14ac:dyDescent="0.2">
      <c r="J1511"/>
    </row>
    <row r="1512" spans="10:10" x14ac:dyDescent="0.2">
      <c r="J1512"/>
    </row>
    <row r="1513" spans="10:10" x14ac:dyDescent="0.2">
      <c r="J1513"/>
    </row>
    <row r="1514" spans="10:10" x14ac:dyDescent="0.2">
      <c r="J1514"/>
    </row>
    <row r="1515" spans="10:10" x14ac:dyDescent="0.2">
      <c r="J1515"/>
    </row>
    <row r="1516" spans="10:10" x14ac:dyDescent="0.2">
      <c r="J1516"/>
    </row>
    <row r="1517" spans="10:10" x14ac:dyDescent="0.2">
      <c r="J1517"/>
    </row>
    <row r="1518" spans="10:10" x14ac:dyDescent="0.2">
      <c r="J1518"/>
    </row>
    <row r="1519" spans="10:10" x14ac:dyDescent="0.2">
      <c r="J1519"/>
    </row>
    <row r="1520" spans="10:10" x14ac:dyDescent="0.2">
      <c r="J1520"/>
    </row>
    <row r="1521" spans="10:10" x14ac:dyDescent="0.2">
      <c r="J1521"/>
    </row>
    <row r="1522" spans="10:10" x14ac:dyDescent="0.2">
      <c r="J1522"/>
    </row>
    <row r="1523" spans="10:10" x14ac:dyDescent="0.2">
      <c r="J1523"/>
    </row>
    <row r="1524" spans="10:10" x14ac:dyDescent="0.2">
      <c r="J1524"/>
    </row>
    <row r="1525" spans="10:10" x14ac:dyDescent="0.2">
      <c r="J1525"/>
    </row>
    <row r="1526" spans="10:10" x14ac:dyDescent="0.2">
      <c r="J1526"/>
    </row>
    <row r="1527" spans="10:10" x14ac:dyDescent="0.2">
      <c r="J1527"/>
    </row>
    <row r="1528" spans="10:10" x14ac:dyDescent="0.2">
      <c r="J1528"/>
    </row>
    <row r="1529" spans="10:10" x14ac:dyDescent="0.2">
      <c r="J1529"/>
    </row>
    <row r="1530" spans="10:10" x14ac:dyDescent="0.2">
      <c r="J1530"/>
    </row>
    <row r="1531" spans="10:10" x14ac:dyDescent="0.2">
      <c r="J1531"/>
    </row>
    <row r="1532" spans="10:10" x14ac:dyDescent="0.2">
      <c r="J1532"/>
    </row>
    <row r="1533" spans="10:10" x14ac:dyDescent="0.2">
      <c r="J1533"/>
    </row>
    <row r="1534" spans="10:10" x14ac:dyDescent="0.2">
      <c r="J1534"/>
    </row>
    <row r="1535" spans="10:10" x14ac:dyDescent="0.2">
      <c r="J1535"/>
    </row>
    <row r="1536" spans="10:10" x14ac:dyDescent="0.2">
      <c r="J1536"/>
    </row>
    <row r="1537" spans="10:10" x14ac:dyDescent="0.2">
      <c r="J1537"/>
    </row>
    <row r="1538" spans="10:10" x14ac:dyDescent="0.2">
      <c r="J1538"/>
    </row>
    <row r="1539" spans="10:10" x14ac:dyDescent="0.2">
      <c r="J1539"/>
    </row>
    <row r="1540" spans="10:10" x14ac:dyDescent="0.2">
      <c r="J1540"/>
    </row>
    <row r="1541" spans="10:10" x14ac:dyDescent="0.2">
      <c r="J1541"/>
    </row>
    <row r="1542" spans="10:10" x14ac:dyDescent="0.2">
      <c r="J1542"/>
    </row>
    <row r="1543" spans="10:10" x14ac:dyDescent="0.2">
      <c r="J1543"/>
    </row>
    <row r="1544" spans="10:10" x14ac:dyDescent="0.2">
      <c r="J1544"/>
    </row>
    <row r="1545" spans="10:10" x14ac:dyDescent="0.2">
      <c r="J1545"/>
    </row>
    <row r="1546" spans="10:10" x14ac:dyDescent="0.2">
      <c r="J1546"/>
    </row>
    <row r="1547" spans="10:10" x14ac:dyDescent="0.2">
      <c r="J1547"/>
    </row>
    <row r="1548" spans="10:10" x14ac:dyDescent="0.2">
      <c r="J1548"/>
    </row>
    <row r="1549" spans="10:10" x14ac:dyDescent="0.2">
      <c r="J1549"/>
    </row>
    <row r="1550" spans="10:10" x14ac:dyDescent="0.2">
      <c r="J1550"/>
    </row>
    <row r="1551" spans="10:10" x14ac:dyDescent="0.2">
      <c r="J1551"/>
    </row>
    <row r="1552" spans="10:10" x14ac:dyDescent="0.2">
      <c r="J1552"/>
    </row>
    <row r="1553" spans="10:10" x14ac:dyDescent="0.2">
      <c r="J1553"/>
    </row>
    <row r="1554" spans="10:10" x14ac:dyDescent="0.2">
      <c r="J1554"/>
    </row>
    <row r="1555" spans="10:10" x14ac:dyDescent="0.2">
      <c r="J1555"/>
    </row>
    <row r="1556" spans="10:10" x14ac:dyDescent="0.2">
      <c r="J1556"/>
    </row>
    <row r="1557" spans="10:10" x14ac:dyDescent="0.2">
      <c r="J1557"/>
    </row>
    <row r="1558" spans="10:10" x14ac:dyDescent="0.2">
      <c r="J1558"/>
    </row>
    <row r="1559" spans="10:10" x14ac:dyDescent="0.2">
      <c r="J1559"/>
    </row>
    <row r="1560" spans="10:10" x14ac:dyDescent="0.2">
      <c r="J1560"/>
    </row>
    <row r="1561" spans="10:10" x14ac:dyDescent="0.2">
      <c r="J1561"/>
    </row>
    <row r="1562" spans="10:10" x14ac:dyDescent="0.2">
      <c r="J1562"/>
    </row>
    <row r="1563" spans="10:10" x14ac:dyDescent="0.2">
      <c r="J1563"/>
    </row>
    <row r="1564" spans="10:10" x14ac:dyDescent="0.2">
      <c r="J1564"/>
    </row>
    <row r="1565" spans="10:10" x14ac:dyDescent="0.2">
      <c r="J1565"/>
    </row>
    <row r="1566" spans="10:10" x14ac:dyDescent="0.2">
      <c r="J1566"/>
    </row>
    <row r="1567" spans="10:10" x14ac:dyDescent="0.2">
      <c r="J1567"/>
    </row>
    <row r="1568" spans="10:10" x14ac:dyDescent="0.2">
      <c r="J1568"/>
    </row>
    <row r="1569" spans="10:10" x14ac:dyDescent="0.2">
      <c r="J1569"/>
    </row>
    <row r="1570" spans="10:10" x14ac:dyDescent="0.2">
      <c r="J1570"/>
    </row>
    <row r="1571" spans="10:10" x14ac:dyDescent="0.2">
      <c r="J1571"/>
    </row>
    <row r="1572" spans="10:10" x14ac:dyDescent="0.2">
      <c r="J1572"/>
    </row>
    <row r="1573" spans="10:10" x14ac:dyDescent="0.2">
      <c r="J1573"/>
    </row>
    <row r="1574" spans="10:10" x14ac:dyDescent="0.2">
      <c r="J1574"/>
    </row>
    <row r="1575" spans="10:10" x14ac:dyDescent="0.2">
      <c r="J1575"/>
    </row>
    <row r="1576" spans="10:10" x14ac:dyDescent="0.2">
      <c r="J1576"/>
    </row>
    <row r="1577" spans="10:10" x14ac:dyDescent="0.2">
      <c r="J1577"/>
    </row>
    <row r="1578" spans="10:10" x14ac:dyDescent="0.2">
      <c r="J1578"/>
    </row>
    <row r="1579" spans="10:10" x14ac:dyDescent="0.2">
      <c r="J1579"/>
    </row>
    <row r="1580" spans="10:10" x14ac:dyDescent="0.2">
      <c r="J1580"/>
    </row>
    <row r="1581" spans="10:10" x14ac:dyDescent="0.2">
      <c r="J1581"/>
    </row>
    <row r="1582" spans="10:10" x14ac:dyDescent="0.2">
      <c r="J1582"/>
    </row>
    <row r="1583" spans="10:10" x14ac:dyDescent="0.2">
      <c r="J1583"/>
    </row>
    <row r="1584" spans="10:10" x14ac:dyDescent="0.2">
      <c r="J1584"/>
    </row>
    <row r="1585" spans="10:10" x14ac:dyDescent="0.2">
      <c r="J1585"/>
    </row>
    <row r="1586" spans="10:10" x14ac:dyDescent="0.2">
      <c r="J1586"/>
    </row>
    <row r="1587" spans="10:10" x14ac:dyDescent="0.2">
      <c r="J1587"/>
    </row>
    <row r="1588" spans="10:10" x14ac:dyDescent="0.2">
      <c r="J1588"/>
    </row>
    <row r="1589" spans="10:10" x14ac:dyDescent="0.2">
      <c r="J1589"/>
    </row>
    <row r="1590" spans="10:10" x14ac:dyDescent="0.2">
      <c r="J1590"/>
    </row>
    <row r="1591" spans="10:10" x14ac:dyDescent="0.2">
      <c r="J1591"/>
    </row>
    <row r="1592" spans="10:10" x14ac:dyDescent="0.2">
      <c r="J1592"/>
    </row>
    <row r="1593" spans="10:10" x14ac:dyDescent="0.2">
      <c r="J1593"/>
    </row>
    <row r="1594" spans="10:10" x14ac:dyDescent="0.2">
      <c r="J1594"/>
    </row>
    <row r="1595" spans="10:10" x14ac:dyDescent="0.2">
      <c r="J1595"/>
    </row>
    <row r="1596" spans="10:10" x14ac:dyDescent="0.2">
      <c r="J1596"/>
    </row>
    <row r="1597" spans="10:10" x14ac:dyDescent="0.2">
      <c r="J1597"/>
    </row>
    <row r="1598" spans="10:10" x14ac:dyDescent="0.2">
      <c r="J1598"/>
    </row>
    <row r="1599" spans="10:10" x14ac:dyDescent="0.2">
      <c r="J1599"/>
    </row>
    <row r="1600" spans="10:10" x14ac:dyDescent="0.2">
      <c r="J1600"/>
    </row>
    <row r="1601" spans="10:10" x14ac:dyDescent="0.2">
      <c r="J1601"/>
    </row>
    <row r="1602" spans="10:10" x14ac:dyDescent="0.2">
      <c r="J1602"/>
    </row>
    <row r="1603" spans="10:10" x14ac:dyDescent="0.2">
      <c r="J1603"/>
    </row>
    <row r="1604" spans="10:10" x14ac:dyDescent="0.2">
      <c r="J1604"/>
    </row>
    <row r="1605" spans="10:10" x14ac:dyDescent="0.2">
      <c r="J1605"/>
    </row>
    <row r="1606" spans="10:10" x14ac:dyDescent="0.2">
      <c r="J1606"/>
    </row>
    <row r="1607" spans="10:10" x14ac:dyDescent="0.2">
      <c r="J1607"/>
    </row>
    <row r="1608" spans="10:10" x14ac:dyDescent="0.2">
      <c r="J1608"/>
    </row>
    <row r="1609" spans="10:10" x14ac:dyDescent="0.2">
      <c r="J1609"/>
    </row>
    <row r="1610" spans="10:10" x14ac:dyDescent="0.2">
      <c r="J1610"/>
    </row>
    <row r="1611" spans="10:10" x14ac:dyDescent="0.2">
      <c r="J1611"/>
    </row>
    <row r="1612" spans="10:10" x14ac:dyDescent="0.2">
      <c r="J1612"/>
    </row>
    <row r="1613" spans="10:10" x14ac:dyDescent="0.2">
      <c r="J1613"/>
    </row>
    <row r="1614" spans="10:10" x14ac:dyDescent="0.2">
      <c r="J1614"/>
    </row>
    <row r="1615" spans="10:10" x14ac:dyDescent="0.2">
      <c r="J1615"/>
    </row>
    <row r="1616" spans="10:10" x14ac:dyDescent="0.2">
      <c r="J1616"/>
    </row>
    <row r="1617" spans="10:10" x14ac:dyDescent="0.2">
      <c r="J1617"/>
    </row>
    <row r="1618" spans="10:10" x14ac:dyDescent="0.2">
      <c r="J1618"/>
    </row>
    <row r="1619" spans="10:10" x14ac:dyDescent="0.2">
      <c r="J1619"/>
    </row>
    <row r="1620" spans="10:10" x14ac:dyDescent="0.2">
      <c r="J1620"/>
    </row>
    <row r="1621" spans="10:10" x14ac:dyDescent="0.2">
      <c r="J1621"/>
    </row>
    <row r="1622" spans="10:10" x14ac:dyDescent="0.2">
      <c r="J1622"/>
    </row>
    <row r="1623" spans="10:10" x14ac:dyDescent="0.2">
      <c r="J1623"/>
    </row>
    <row r="1624" spans="10:10" x14ac:dyDescent="0.2">
      <c r="J1624"/>
    </row>
    <row r="1625" spans="10:10" x14ac:dyDescent="0.2">
      <c r="J1625"/>
    </row>
    <row r="1626" spans="10:10" x14ac:dyDescent="0.2">
      <c r="J1626"/>
    </row>
    <row r="1627" spans="10:10" x14ac:dyDescent="0.2">
      <c r="J1627"/>
    </row>
    <row r="1628" spans="10:10" x14ac:dyDescent="0.2">
      <c r="J1628"/>
    </row>
    <row r="1629" spans="10:10" x14ac:dyDescent="0.2">
      <c r="J1629"/>
    </row>
    <row r="1630" spans="10:10" x14ac:dyDescent="0.2">
      <c r="J1630"/>
    </row>
    <row r="1631" spans="10:10" x14ac:dyDescent="0.2">
      <c r="J1631"/>
    </row>
    <row r="1632" spans="10:10" x14ac:dyDescent="0.2">
      <c r="J1632"/>
    </row>
    <row r="1633" spans="10:10" x14ac:dyDescent="0.2">
      <c r="J1633"/>
    </row>
    <row r="1634" spans="10:10" x14ac:dyDescent="0.2">
      <c r="J1634"/>
    </row>
    <row r="1635" spans="10:10" x14ac:dyDescent="0.2">
      <c r="J1635"/>
    </row>
    <row r="1636" spans="10:10" x14ac:dyDescent="0.2">
      <c r="J1636"/>
    </row>
    <row r="1637" spans="10:10" x14ac:dyDescent="0.2">
      <c r="J1637"/>
    </row>
    <row r="1638" spans="10:10" x14ac:dyDescent="0.2">
      <c r="J1638"/>
    </row>
    <row r="1639" spans="10:10" x14ac:dyDescent="0.2">
      <c r="J1639"/>
    </row>
    <row r="1640" spans="10:10" x14ac:dyDescent="0.2">
      <c r="J1640"/>
    </row>
    <row r="1641" spans="10:10" x14ac:dyDescent="0.2">
      <c r="J1641"/>
    </row>
    <row r="1642" spans="10:10" x14ac:dyDescent="0.2">
      <c r="J1642"/>
    </row>
    <row r="1643" spans="10:10" x14ac:dyDescent="0.2">
      <c r="J1643"/>
    </row>
    <row r="1644" spans="10:10" x14ac:dyDescent="0.2">
      <c r="J1644"/>
    </row>
    <row r="1645" spans="10:10" x14ac:dyDescent="0.2">
      <c r="J1645"/>
    </row>
    <row r="1646" spans="10:10" x14ac:dyDescent="0.2">
      <c r="J1646"/>
    </row>
    <row r="1647" spans="10:10" x14ac:dyDescent="0.2">
      <c r="J1647"/>
    </row>
    <row r="1648" spans="10:10" x14ac:dyDescent="0.2">
      <c r="J1648"/>
    </row>
    <row r="1649" spans="10:10" x14ac:dyDescent="0.2">
      <c r="J1649"/>
    </row>
    <row r="1650" spans="10:10" x14ac:dyDescent="0.2">
      <c r="J1650"/>
    </row>
    <row r="1651" spans="10:10" x14ac:dyDescent="0.2">
      <c r="J1651"/>
    </row>
    <row r="1652" spans="10:10" x14ac:dyDescent="0.2">
      <c r="J1652"/>
    </row>
    <row r="1653" spans="10:10" x14ac:dyDescent="0.2">
      <c r="J1653"/>
    </row>
    <row r="1654" spans="10:10" x14ac:dyDescent="0.2">
      <c r="J1654"/>
    </row>
    <row r="1655" spans="10:10" x14ac:dyDescent="0.2">
      <c r="J1655"/>
    </row>
    <row r="1656" spans="10:10" x14ac:dyDescent="0.2">
      <c r="J1656"/>
    </row>
    <row r="1657" spans="10:10" x14ac:dyDescent="0.2">
      <c r="J1657"/>
    </row>
    <row r="1658" spans="10:10" x14ac:dyDescent="0.2">
      <c r="J1658"/>
    </row>
    <row r="1659" spans="10:10" x14ac:dyDescent="0.2">
      <c r="J1659"/>
    </row>
    <row r="1660" spans="10:10" x14ac:dyDescent="0.2">
      <c r="J1660"/>
    </row>
    <row r="1661" spans="10:10" x14ac:dyDescent="0.2">
      <c r="J1661"/>
    </row>
    <row r="1662" spans="10:10" x14ac:dyDescent="0.2">
      <c r="J1662"/>
    </row>
    <row r="1663" spans="10:10" x14ac:dyDescent="0.2">
      <c r="J1663"/>
    </row>
    <row r="1664" spans="10:10" x14ac:dyDescent="0.2">
      <c r="J1664"/>
    </row>
    <row r="1665" spans="10:10" x14ac:dyDescent="0.2">
      <c r="J1665"/>
    </row>
    <row r="1666" spans="10:10" x14ac:dyDescent="0.2">
      <c r="J1666"/>
    </row>
    <row r="1667" spans="10:10" x14ac:dyDescent="0.2">
      <c r="J1667"/>
    </row>
    <row r="1668" spans="10:10" x14ac:dyDescent="0.2">
      <c r="J1668"/>
    </row>
    <row r="1669" spans="10:10" x14ac:dyDescent="0.2">
      <c r="J1669"/>
    </row>
    <row r="1670" spans="10:10" x14ac:dyDescent="0.2">
      <c r="J1670"/>
    </row>
    <row r="1671" spans="10:10" x14ac:dyDescent="0.2">
      <c r="J1671"/>
    </row>
    <row r="1672" spans="10:10" x14ac:dyDescent="0.2">
      <c r="J1672"/>
    </row>
    <row r="1673" spans="10:10" x14ac:dyDescent="0.2">
      <c r="J1673"/>
    </row>
    <row r="1674" spans="10:10" x14ac:dyDescent="0.2">
      <c r="J1674"/>
    </row>
    <row r="1675" spans="10:10" x14ac:dyDescent="0.2">
      <c r="J1675"/>
    </row>
    <row r="1676" spans="10:10" x14ac:dyDescent="0.2">
      <c r="J1676"/>
    </row>
    <row r="1677" spans="10:10" x14ac:dyDescent="0.2">
      <c r="J1677"/>
    </row>
    <row r="1678" spans="10:10" x14ac:dyDescent="0.2">
      <c r="J1678"/>
    </row>
    <row r="1679" spans="10:10" x14ac:dyDescent="0.2">
      <c r="J1679"/>
    </row>
    <row r="1680" spans="10:10" x14ac:dyDescent="0.2">
      <c r="J168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74" r:id="rId4" name="Button 26">
              <controlPr defaultSize="0" print="0" autoFill="0" autoPict="0" macro="[0]!Requestor">
                <anchor moveWithCells="1" sizeWithCells="1">
                  <from>
                    <xdr:col>5</xdr:col>
                    <xdr:colOff>-43786425</xdr:colOff>
                    <xdr:row>0</xdr:row>
                    <xdr:rowOff>0</xdr:rowOff>
                  </from>
                  <to>
                    <xdr:col>8</xdr:col>
                    <xdr:colOff>20431125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5" name="Button 27">
              <controlPr defaultSize="0" print="0" autoFill="0" autoPict="0" macro="[0]!Requestor">
                <anchor moveWithCells="1" sizeWithCells="1">
                  <from>
                    <xdr:col>6</xdr:col>
                    <xdr:colOff>7305675</xdr:colOff>
                    <xdr:row>0</xdr:row>
                    <xdr:rowOff>1828800</xdr:rowOff>
                  </from>
                  <to>
                    <xdr:col>7</xdr:col>
                    <xdr:colOff>7981950</xdr:colOff>
                    <xdr:row>1</xdr:row>
                    <xdr:rowOff>1828800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6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304800</xdr:rowOff>
                  </from>
                  <to>
                    <xdr:col>1</xdr:col>
                    <xdr:colOff>0</xdr:colOff>
                    <xdr:row>4</xdr:row>
                    <xdr:rowOff>1828800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Horizon Positions</vt:lpstr>
      <vt:lpstr>Fund Trend</vt:lpstr>
      <vt:lpstr>DilutionAdjustment</vt:lpstr>
      <vt:lpstr>'Fund Trend'!Print_Titles</vt:lpstr>
      <vt:lpstr>SP2_ACCOUNT</vt:lpstr>
      <vt:lpstr>SP2_CLASSOFSHARES</vt:lpstr>
      <vt:lpstr>SP2_F1ITEM</vt:lpstr>
      <vt:lpstr>SP2_F1OPER</vt:lpstr>
      <vt:lpstr>SP2_F1VALUE</vt:lpstr>
      <vt:lpstr>SP2_F2ITEM</vt:lpstr>
      <vt:lpstr>SP2_F2OPER</vt:lpstr>
      <vt:lpstr>SP2_F2VALUE</vt:lpstr>
      <vt:lpstr>SP2_F3ITEM</vt:lpstr>
      <vt:lpstr>SP2_F3OPER</vt:lpstr>
      <vt:lpstr>SP2_F3VALUE</vt:lpstr>
      <vt:lpstr>SP2_F4ITEM</vt:lpstr>
      <vt:lpstr>SP2_F4OPER</vt:lpstr>
      <vt:lpstr>SP2_F4VALUE</vt:lpstr>
      <vt:lpstr>SP2_F5ITEM</vt:lpstr>
      <vt:lpstr>SP2_F5OPER</vt:lpstr>
      <vt:lpstr>SP2_F5VALUE</vt:lpstr>
      <vt:lpstr>SP2_OPERATOR</vt:lpstr>
      <vt:lpstr>SP2_PERIODS</vt:lpstr>
      <vt:lpstr>SP2_PERIODTYPE</vt:lpstr>
      <vt:lpstr>SP2_REGION</vt:lpstr>
      <vt:lpstr>SP2_REQDATE</vt:lpstr>
      <vt:lpstr>SP2_VIEW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Schneider</dc:creator>
  <cp:lastModifiedBy>Richard Armstrong</cp:lastModifiedBy>
  <cp:lastPrinted>2023-04-28T10:10:06Z</cp:lastPrinted>
  <dcterms:created xsi:type="dcterms:W3CDTF">1997-04-25T20:42:07Z</dcterms:created>
  <dcterms:modified xsi:type="dcterms:W3CDTF">2023-05-15T12:42:37Z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b3f6bee-25a2-4071-976d-445ec8dd7ff4_Enabled">
    <vt:lpwstr>true</vt:lpwstr>
  </property>
  <property fmtid="{D5CDD505-2E9C-101B-9397-08002B2CF9AE}" pid="3" name="MSIP_Label_5b3f6bee-25a2-4071-976d-445ec8dd7ff4_SetDate">
    <vt:lpwstr>2023-05-11T16:14:24Z</vt:lpwstr>
  </property>
  <property fmtid="{D5CDD505-2E9C-101B-9397-08002B2CF9AE}" pid="4" name="MSIP_Label_5b3f6bee-25a2-4071-976d-445ec8dd7ff4_Method">
    <vt:lpwstr>Privileged</vt:lpwstr>
  </property>
  <property fmtid="{D5CDD505-2E9C-101B-9397-08002B2CF9AE}" pid="5" name="MSIP_Label_5b3f6bee-25a2-4071-976d-445ec8dd7ff4_Name">
    <vt:lpwstr>Public</vt:lpwstr>
  </property>
  <property fmtid="{D5CDD505-2E9C-101B-9397-08002B2CF9AE}" pid="6" name="MSIP_Label_5b3f6bee-25a2-4071-976d-445ec8dd7ff4_SiteId">
    <vt:lpwstr>2fe7c763-103c-4fdb-a047-7a3df607800d</vt:lpwstr>
  </property>
  <property fmtid="{D5CDD505-2E9C-101B-9397-08002B2CF9AE}" pid="7" name="MSIP_Label_5b3f6bee-25a2-4071-976d-445ec8dd7ff4_ActionId">
    <vt:lpwstr>db2adc5d-67d3-4029-ba50-ac0090adec75</vt:lpwstr>
  </property>
  <property fmtid="{D5CDD505-2E9C-101B-9397-08002B2CF9AE}" pid="8" name="MSIP_Label_5b3f6bee-25a2-4071-976d-445ec8dd7ff4_ContentBits">
    <vt:lpwstr>0</vt:lpwstr>
  </property>
</Properties>
</file>